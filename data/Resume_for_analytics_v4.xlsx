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pi/Documents/Git Repos/Analytics_resume/data/"/>
    </mc:Choice>
  </mc:AlternateContent>
  <xr:revisionPtr revIDLastSave="0" documentId="13_ncr:1_{D64B2876-C823-9448-94C1-B15994A5197C}" xr6:coauthVersionLast="47" xr6:coauthVersionMax="47" xr10:uidLastSave="{00000000-0000-0000-0000-000000000000}"/>
  <bookViews>
    <workbookView xWindow="0" yWindow="660" windowWidth="30240" windowHeight="17420" activeTab="2" xr2:uid="{98D999EE-BA1D-1548-A71A-707BD42C34C4}"/>
  </bookViews>
  <sheets>
    <sheet name="Calendar" sheetId="6" r:id="rId1"/>
    <sheet name="Experience" sheetId="1" r:id="rId2"/>
    <sheet name="Skills" sheetId="2" r:id="rId3"/>
    <sheet name="Certification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  <c r="I8" i="1"/>
  <c r="J9" i="1"/>
  <c r="J7" i="1"/>
  <c r="I9" i="1"/>
  <c r="I7" i="1"/>
  <c r="J3" i="1"/>
  <c r="I3" i="1"/>
  <c r="J6" i="1"/>
  <c r="J5" i="1"/>
  <c r="J4" i="1"/>
  <c r="J2" i="1"/>
  <c r="I6" i="1"/>
  <c r="I5" i="1"/>
  <c r="I4" i="1"/>
  <c r="I2" i="1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2" i="6"/>
</calcChain>
</file>

<file path=xl/sharedStrings.xml><?xml version="1.0" encoding="utf-8"?>
<sst xmlns="http://schemas.openxmlformats.org/spreadsheetml/2006/main" count="483" uniqueCount="308">
  <si>
    <t>Role</t>
  </si>
  <si>
    <t>Location</t>
  </si>
  <si>
    <t>Description</t>
  </si>
  <si>
    <t>Deloitte Italia</t>
  </si>
  <si>
    <t>Milan, Italy</t>
  </si>
  <si>
    <t>Delivered data analytics and BI projects, including a fraud detection engine and a risk scoring
platform. Collaborated with audit teams to process and analyze client data</t>
  </si>
  <si>
    <t>Team</t>
  </si>
  <si>
    <t>Consultant</t>
  </si>
  <si>
    <t>Digital, AI Controls and Algorithms</t>
  </si>
  <si>
    <t>Data Intelligence</t>
  </si>
  <si>
    <t>LanguageWire</t>
  </si>
  <si>
    <t>Malt</t>
  </si>
  <si>
    <t>Data Engineer</t>
  </si>
  <si>
    <t>Business Finance</t>
  </si>
  <si>
    <t>Analytics Engineer</t>
  </si>
  <si>
    <t>Data Team</t>
  </si>
  <si>
    <t>Supported clients in leveraging advanced data technologies. Contributed to multiple ML
projects (fraud detection, NLP, network analysis), focusing on model development,
deployment, and cloud migration</t>
  </si>
  <si>
    <t>Valencia, Spain</t>
  </si>
  <si>
    <t>Worked in the Business Finance team managing the full data lifecycle (financial, commercial,
marketing, external). Designed data solutions from ingestion to end-user dashboards to
improve decision-making</t>
  </si>
  <si>
    <t>Joined as the first Analytics Engineer, bridging data engineering and analytics. Improved and
optimized the data platform by building reusable, efficient SQL-based models in the silver
layer, enabling reliable analysis across departments</t>
  </si>
  <si>
    <t>Tasks</t>
  </si>
  <si>
    <t>▪ Architecting and implementing data pipelines in cloud environment
▪ API testing, integration and implementation
▪ Set up of CD/CI pipelines to test and production environments through Azure DevOps
▪ Time series forecasting and analysis of the most relevant business metrics</t>
  </si>
  <si>
    <t>▪ Partnered with data analysts and stakeholders to support dashboarding and reporting needs
▪ Enhanced data warehouse performance and usability through scalable, reusable code
▪ Explored and applied modern approaches to data modeling and analytics engineering</t>
  </si>
  <si>
    <t>▪ Data Engineering tasks and ETL/ELT pipelines implementation
▪ Machine Learning models definition and implementation
▪ Deploy, versioning and orchestration of ML models in production environment</t>
  </si>
  <si>
    <t>▪ Definition of risk and performance indicators based on specific business requirements
▪ Database management and automated tasks orchestration
▪ Design and implementation of ready-to-use continuous monitoring dashboards</t>
  </si>
  <si>
    <t>NTT Data Italia</t>
  </si>
  <si>
    <t>Skill</t>
  </si>
  <si>
    <t>Category</t>
  </si>
  <si>
    <t>Level</t>
  </si>
  <si>
    <t>Python</t>
  </si>
  <si>
    <t>Programming</t>
  </si>
  <si>
    <t>Advanced</t>
  </si>
  <si>
    <t>SQL</t>
  </si>
  <si>
    <t>DAX</t>
  </si>
  <si>
    <t>Intermediate</t>
  </si>
  <si>
    <t>HTML/CSS</t>
  </si>
  <si>
    <t>Basic</t>
  </si>
  <si>
    <t>MATLAB</t>
  </si>
  <si>
    <t>VBA</t>
  </si>
  <si>
    <t>Azure Data Factory</t>
  </si>
  <si>
    <t>Cloud &amp; Orchestration</t>
  </si>
  <si>
    <t>Azure DevOps</t>
  </si>
  <si>
    <t>AWS SageMaker</t>
  </si>
  <si>
    <t>GCP BigQuery</t>
  </si>
  <si>
    <t>Airflow</t>
  </si>
  <si>
    <t>Power BI</t>
  </si>
  <si>
    <t>Data &amp; Analytics</t>
  </si>
  <si>
    <t>Looker</t>
  </si>
  <si>
    <t>Qlik Sense</t>
  </si>
  <si>
    <t>dbt</t>
  </si>
  <si>
    <t>SSAS</t>
  </si>
  <si>
    <t>Name</t>
  </si>
  <si>
    <t>Provider</t>
  </si>
  <si>
    <t>Year</t>
  </si>
  <si>
    <t>Type</t>
  </si>
  <si>
    <t>AWS Cloud Practitioner</t>
  </si>
  <si>
    <t>Amazon Web Services</t>
  </si>
  <si>
    <t>Cloud</t>
  </si>
  <si>
    <t>DP-900 Data Fundamentals</t>
  </si>
  <si>
    <t>Microsoft</t>
  </si>
  <si>
    <t>Celonis Data Engineer</t>
  </si>
  <si>
    <t>Celonis</t>
  </si>
  <si>
    <t>Process Mining</t>
  </si>
  <si>
    <t>Link</t>
  </si>
  <si>
    <t>https://www.credly.com/badges/dcca0505-16db-4469-8929-93069caf8346?source=linked_in_profile</t>
  </si>
  <si>
    <t>https://www.credly.com/badges/331fa7f3-e84e-4915-b13f-b1caf88e2f15?source=linked_in_profile</t>
  </si>
  <si>
    <t>Udemy</t>
  </si>
  <si>
    <t>Machine Learning No-Code Approach: Using Azure ML Studio</t>
  </si>
  <si>
    <t>Data Science</t>
  </si>
  <si>
    <t>AWS Certified Machine Learning Specialty MLS-C01</t>
  </si>
  <si>
    <t>Python and Flask Bootcamp: Create Websites using Flask!</t>
  </si>
  <si>
    <t>Analytics Engineering Bootcamp</t>
  </si>
  <si>
    <t>Analytics</t>
  </si>
  <si>
    <t>Intermediate to Advanced Python with 10 OOP Projects</t>
  </si>
  <si>
    <t>DP-203 - Data Engineering on Microsoft Azure</t>
  </si>
  <si>
    <t>Python for Financial Analysis and Algorithmic Trading</t>
  </si>
  <si>
    <t>The Complete dbt (Data Build Tool) Bootcamp: Zero to Hero</t>
  </si>
  <si>
    <t>104/110</t>
  </si>
  <si>
    <t>91/110</t>
  </si>
  <si>
    <t>Università degli Studi di Milano-Bicocca</t>
  </si>
  <si>
    <t>Degree in Business Economics (L-33)</t>
  </si>
  <si>
    <t>Master’s degree in Economics and Finance (LM-16)</t>
  </si>
  <si>
    <t>Universidad de León</t>
  </si>
  <si>
    <t>YearMonth</t>
  </si>
  <si>
    <t>Work</t>
  </si>
  <si>
    <t>Leon, Spain</t>
  </si>
  <si>
    <t>Business Economics</t>
  </si>
  <si>
    <t>International Mobility Program with exams taken in English and Spanish</t>
  </si>
  <si>
    <t>N/A</t>
  </si>
  <si>
    <t>Experience</t>
  </si>
  <si>
    <t>Economics and Finance</t>
  </si>
  <si>
    <t>Month</t>
  </si>
  <si>
    <t>ExperienceID</t>
  </si>
  <si>
    <t>Years_Used</t>
  </si>
  <si>
    <t>Start_Month</t>
  </si>
  <si>
    <t>End_Month</t>
  </si>
  <si>
    <t>09-2013</t>
  </si>
  <si>
    <t>10-2013</t>
  </si>
  <si>
    <t>11-2013</t>
  </si>
  <si>
    <t>12-2013</t>
  </si>
  <si>
    <t>01-2014</t>
  </si>
  <si>
    <t>02-2014</t>
  </si>
  <si>
    <t>03-2014</t>
  </si>
  <si>
    <t>04-2014</t>
  </si>
  <si>
    <t>05-2014</t>
  </si>
  <si>
    <t>06-2014</t>
  </si>
  <si>
    <t>07-2014</t>
  </si>
  <si>
    <t>08-2014</t>
  </si>
  <si>
    <t>09-2014</t>
  </si>
  <si>
    <t>10-2014</t>
  </si>
  <si>
    <t>11-2014</t>
  </si>
  <si>
    <t>12-2014</t>
  </si>
  <si>
    <t>01-2015</t>
  </si>
  <si>
    <t>02-2015</t>
  </si>
  <si>
    <t>03-2015</t>
  </si>
  <si>
    <t>04-2015</t>
  </si>
  <si>
    <t>05-2015</t>
  </si>
  <si>
    <t>06-2015</t>
  </si>
  <si>
    <t>07-2015</t>
  </si>
  <si>
    <t>08-2015</t>
  </si>
  <si>
    <t>09-2015</t>
  </si>
  <si>
    <t>10-2015</t>
  </si>
  <si>
    <t>11-2015</t>
  </si>
  <si>
    <t>12-2015</t>
  </si>
  <si>
    <t>01-2016</t>
  </si>
  <si>
    <t>02-2016</t>
  </si>
  <si>
    <t>03-2016</t>
  </si>
  <si>
    <t>04-2016</t>
  </si>
  <si>
    <t>05-2016</t>
  </si>
  <si>
    <t>06-2016</t>
  </si>
  <si>
    <t>07-2016</t>
  </si>
  <si>
    <t>08-2016</t>
  </si>
  <si>
    <t>09-2016</t>
  </si>
  <si>
    <t>10-2016</t>
  </si>
  <si>
    <t>11-2016</t>
  </si>
  <si>
    <t>12-2016</t>
  </si>
  <si>
    <t>01-2017</t>
  </si>
  <si>
    <t>02-2017</t>
  </si>
  <si>
    <t>03-2017</t>
  </si>
  <si>
    <t>04-2017</t>
  </si>
  <si>
    <t>05-2017</t>
  </si>
  <si>
    <t>06-2017</t>
  </si>
  <si>
    <t>07-2017</t>
  </si>
  <si>
    <t>08-2017</t>
  </si>
  <si>
    <t>09-2017</t>
  </si>
  <si>
    <t>10-2017</t>
  </si>
  <si>
    <t>11-2017</t>
  </si>
  <si>
    <t>12-2017</t>
  </si>
  <si>
    <t>01-2018</t>
  </si>
  <si>
    <t>02-2018</t>
  </si>
  <si>
    <t>03-2018</t>
  </si>
  <si>
    <t>04-2018</t>
  </si>
  <si>
    <t>05-2018</t>
  </si>
  <si>
    <t>06-2018</t>
  </si>
  <si>
    <t>07-2018</t>
  </si>
  <si>
    <t>08-2018</t>
  </si>
  <si>
    <t>09-2018</t>
  </si>
  <si>
    <t>10-2018</t>
  </si>
  <si>
    <t>11-2018</t>
  </si>
  <si>
    <t>12-2018</t>
  </si>
  <si>
    <t>01-2019</t>
  </si>
  <si>
    <t>02-2019</t>
  </si>
  <si>
    <t>03-2019</t>
  </si>
  <si>
    <t>04-2019</t>
  </si>
  <si>
    <t>05-2019</t>
  </si>
  <si>
    <t>06-2019</t>
  </si>
  <si>
    <t>07-2019</t>
  </si>
  <si>
    <t>08-2019</t>
  </si>
  <si>
    <t>09-2019</t>
  </si>
  <si>
    <t>10-2019</t>
  </si>
  <si>
    <t>11-2019</t>
  </si>
  <si>
    <t>12-2019</t>
  </si>
  <si>
    <t>01-2020</t>
  </si>
  <si>
    <t>02-2020</t>
  </si>
  <si>
    <t>03-2020</t>
  </si>
  <si>
    <t>04-2020</t>
  </si>
  <si>
    <t>05-2020</t>
  </si>
  <si>
    <t>06-2020</t>
  </si>
  <si>
    <t>07-2020</t>
  </si>
  <si>
    <t>08-2020</t>
  </si>
  <si>
    <t>09-2020</t>
  </si>
  <si>
    <t>10-2020</t>
  </si>
  <si>
    <t>11-2020</t>
  </si>
  <si>
    <t>12-2020</t>
  </si>
  <si>
    <t>01-2021</t>
  </si>
  <si>
    <t>02-2021</t>
  </si>
  <si>
    <t>03-2021</t>
  </si>
  <si>
    <t>04-2021</t>
  </si>
  <si>
    <t>05-2021</t>
  </si>
  <si>
    <t>06-2021</t>
  </si>
  <si>
    <t>07-2021</t>
  </si>
  <si>
    <t>08-2021</t>
  </si>
  <si>
    <t>09-2021</t>
  </si>
  <si>
    <t>10-2021</t>
  </si>
  <si>
    <t>11-2021</t>
  </si>
  <si>
    <t>12-2021</t>
  </si>
  <si>
    <t>01-2022</t>
  </si>
  <si>
    <t>02-2022</t>
  </si>
  <si>
    <t>03-2022</t>
  </si>
  <si>
    <t>04-2022</t>
  </si>
  <si>
    <t>05-2022</t>
  </si>
  <si>
    <t>06-2022</t>
  </si>
  <si>
    <t>07-2022</t>
  </si>
  <si>
    <t>08-2022</t>
  </si>
  <si>
    <t>09-2022</t>
  </si>
  <si>
    <t>10-2022</t>
  </si>
  <si>
    <t>11-2022</t>
  </si>
  <si>
    <t>12-2022</t>
  </si>
  <si>
    <t>01-2023</t>
  </si>
  <si>
    <t>02-2023</t>
  </si>
  <si>
    <t>03-2023</t>
  </si>
  <si>
    <t>04-2023</t>
  </si>
  <si>
    <t>05-2023</t>
  </si>
  <si>
    <t>06-2023</t>
  </si>
  <si>
    <t>07-2023</t>
  </si>
  <si>
    <t>08-2023</t>
  </si>
  <si>
    <t>09-2023</t>
  </si>
  <si>
    <t>10-2023</t>
  </si>
  <si>
    <t>11-2023</t>
  </si>
  <si>
    <t>12-2023</t>
  </si>
  <si>
    <t>01-2024</t>
  </si>
  <si>
    <t>02-2024</t>
  </si>
  <si>
    <t>03-2024</t>
  </si>
  <si>
    <t>04-2024</t>
  </si>
  <si>
    <t>05-2024</t>
  </si>
  <si>
    <t>06-2024</t>
  </si>
  <si>
    <t>07-2024</t>
  </si>
  <si>
    <t>08-2024</t>
  </si>
  <si>
    <t>09-2024</t>
  </si>
  <si>
    <t>10-2024</t>
  </si>
  <si>
    <t>11-2024</t>
  </si>
  <si>
    <t>12-2024</t>
  </si>
  <si>
    <t>01-2025</t>
  </si>
  <si>
    <t>02-2025</t>
  </si>
  <si>
    <t>03-2025</t>
  </si>
  <si>
    <t>04-2025</t>
  </si>
  <si>
    <t>05-2025</t>
  </si>
  <si>
    <t>06-2025</t>
  </si>
  <si>
    <t>07-2025</t>
  </si>
  <si>
    <t>08-2025</t>
  </si>
  <si>
    <t>09-2025</t>
  </si>
  <si>
    <t>10-2025</t>
  </si>
  <si>
    <t>11-2025</t>
  </si>
  <si>
    <t>12-2025</t>
  </si>
  <si>
    <t>01-2026</t>
  </si>
  <si>
    <t>02-2026</t>
  </si>
  <si>
    <t>03-2026</t>
  </si>
  <si>
    <t>04-2026</t>
  </si>
  <si>
    <t>05-2026</t>
  </si>
  <si>
    <t>06-2026</t>
  </si>
  <si>
    <t>07-2026</t>
  </si>
  <si>
    <t>08-2026</t>
  </si>
  <si>
    <t>09-2026</t>
  </si>
  <si>
    <t>10-2026</t>
  </si>
  <si>
    <t>11-2026</t>
  </si>
  <si>
    <t>12-2026</t>
  </si>
  <si>
    <t>01-2027</t>
  </si>
  <si>
    <t>02-2027</t>
  </si>
  <si>
    <t>03-2027</t>
  </si>
  <si>
    <t>04-2027</t>
  </si>
  <si>
    <t>05-2027</t>
  </si>
  <si>
    <t>06-2027</t>
  </si>
  <si>
    <t>07-2027</t>
  </si>
  <si>
    <t>08-2027</t>
  </si>
  <si>
    <t>09-2027</t>
  </si>
  <si>
    <t>10-2027</t>
  </si>
  <si>
    <t>11-2027</t>
  </si>
  <si>
    <t>12-2027</t>
  </si>
  <si>
    <t>01-2028</t>
  </si>
  <si>
    <t>02-2028</t>
  </si>
  <si>
    <t>03-2028</t>
  </si>
  <si>
    <t>04-2028</t>
  </si>
  <si>
    <t>05-2028</t>
  </si>
  <si>
    <t>06-2028</t>
  </si>
  <si>
    <t>07-2028</t>
  </si>
  <si>
    <t>08-2028</t>
  </si>
  <si>
    <t>09-2028</t>
  </si>
  <si>
    <t>10-2028</t>
  </si>
  <si>
    <t>11-2028</t>
  </si>
  <si>
    <t>12-2028</t>
  </si>
  <si>
    <t>YearMonthCal</t>
  </si>
  <si>
    <t>Latitude</t>
  </si>
  <si>
    <t>Longitude</t>
  </si>
  <si>
    <t>Erasmus</t>
  </si>
  <si>
    <t>Scala</t>
  </si>
  <si>
    <t>MS Office</t>
  </si>
  <si>
    <t>Education</t>
  </si>
  <si>
    <t>Paris, France</t>
  </si>
  <si>
    <t>https://www.udemy.com/certificate/UC-bcc8c077-735f-43e3-8632-add3bd582fdd/</t>
  </si>
  <si>
    <t>https://www.udemy.com/certificate/UC-c1f8334b-6496-436a-8b61-1b0947c1e91b/</t>
  </si>
  <si>
    <t>https://www.udemy.com/certificate/UC-77d1d78e-1049-4115-a51d-af567fd34ce4/</t>
  </si>
  <si>
    <t>https://www.udemy.com/certificate/UC-eb5a14cb-df46-4f58-a649-e19e5a8d892a/</t>
  </si>
  <si>
    <t>https://www.udemy.com/certificate/UC-abc475ae-1405-4069-a2e8-4fc57e22a708/</t>
  </si>
  <si>
    <t>https://www.udemy.com/certificate/UC-0a04cdf0-1a5f-4f32-8691-83e1fb90ac6e/</t>
  </si>
  <si>
    <t>https://www.udemy.com/certificate/UC-a083c974-502e-45b7-857e-d148fc020979/</t>
  </si>
  <si>
    <t>https://www.udemy.com/certificate/UC-d49aa702-9c8d-48e7-9a1a-a30fd798cbdd/</t>
  </si>
  <si>
    <t>Year_Issued</t>
  </si>
  <si>
    <t>Gretl</t>
  </si>
  <si>
    <t>General IT</t>
  </si>
  <si>
    <t>Databases</t>
  </si>
  <si>
    <t>SQL Server</t>
  </si>
  <si>
    <t>SAP HANA</t>
  </si>
  <si>
    <t>PostgreSQL</t>
  </si>
  <si>
    <t>AWS Redshift</t>
  </si>
  <si>
    <t>Oracle Database</t>
  </si>
  <si>
    <t>MySQL</t>
  </si>
  <si>
    <t>GitHub/GitLab</t>
  </si>
  <si>
    <t>git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</si>
</sst>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-yyyy"/>
    <numFmt numFmtId="165" formatCode="[$-F800]dddd\,\ mmmm\ dd\,\ yyyy"/>
    <numFmt numFmtId="166" formatCode="#,##0.000000"/>
  </numFmts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1"/>
    <xf numFmtId="49" fontId="0" fillId="0" borderId="0" xfId="0" applyNumberFormat="1"/>
    <xf numFmtId="49" fontId="1" fillId="0" borderId="0" xfId="0" applyNumberFormat="1" applyFont="1"/>
    <xf numFmtId="0" fontId="5" fillId="0" borderId="0" xfId="0" applyFont="1" applyAlignment="1">
      <alignment vertical="top"/>
    </xf>
    <xf numFmtId="164" fontId="6" fillId="0" borderId="0" xfId="0" applyNumberFormat="1" applyFont="1"/>
    <xf numFmtId="165" fontId="1" fillId="0" borderId="0" xfId="0" applyNumberFormat="1" applyFont="1" applyAlignment="1">
      <alignment vertical="top"/>
    </xf>
    <xf numFmtId="165" fontId="0" fillId="0" borderId="0" xfId="0" applyNumberFormat="1" applyAlignment="1">
      <alignment vertical="top"/>
    </xf>
    <xf numFmtId="166" fontId="0" fillId="0" borderId="0" xfId="0" applyNumberFormat="1" applyAlignment="1">
      <alignment vertical="top"/>
    </xf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certificate/UC-0a04cdf0-1a5f-4f32-8691-83e1fb90ac6e/" TargetMode="External"/><Relationship Id="rId3" Type="http://schemas.openxmlformats.org/officeDocument/2006/relationships/hyperlink" Target="https://www.udemy.com/certificate/UC-c1f8334b-6496-436a-8b61-1b0947c1e91b/" TargetMode="External"/><Relationship Id="rId7" Type="http://schemas.openxmlformats.org/officeDocument/2006/relationships/hyperlink" Target="https://www.udemy.com/certificate/UC-abc475ae-1405-4069-a2e8-4fc57e22a708/" TargetMode="External"/><Relationship Id="rId2" Type="http://schemas.openxmlformats.org/officeDocument/2006/relationships/hyperlink" Target="https://www.credly.com/badges/331fa7f3-e84e-4915-b13f-b1caf88e2f15?source=linked_in_profile" TargetMode="External"/><Relationship Id="rId1" Type="http://schemas.openxmlformats.org/officeDocument/2006/relationships/hyperlink" Target="https://www.credly.com/badges/dcca0505-16db-4469-8929-93069caf8346?source=linked_in_profile" TargetMode="External"/><Relationship Id="rId6" Type="http://schemas.openxmlformats.org/officeDocument/2006/relationships/hyperlink" Target="https://www.udemy.com/certificate/UC-eb5a14cb-df46-4f58-a649-e19e5a8d892a/" TargetMode="External"/><Relationship Id="rId5" Type="http://schemas.openxmlformats.org/officeDocument/2006/relationships/hyperlink" Target="https://www.udemy.com/certificate/UC-77d1d78e-1049-4115-a51d-af567fd34ce4/" TargetMode="External"/><Relationship Id="rId10" Type="http://schemas.openxmlformats.org/officeDocument/2006/relationships/hyperlink" Target="https://www.udemy.com/certificate/UC-d49aa702-9c8d-48e7-9a1a-a30fd798cbdd/" TargetMode="External"/><Relationship Id="rId4" Type="http://schemas.openxmlformats.org/officeDocument/2006/relationships/hyperlink" Target="https://www.udemy.com/certificate/UC-bcc8c077-735f-43e3-8632-add3bd582fdd/" TargetMode="External"/><Relationship Id="rId9" Type="http://schemas.openxmlformats.org/officeDocument/2006/relationships/hyperlink" Target="https://www.udemy.com/certificate/UC-a083c974-502e-45b7-857e-d148fc02097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0A0BB-68AC-8147-BE8F-1412B640D67D}">
  <dimension ref="A1:D185"/>
  <sheetViews>
    <sheetView topLeftCell="A161" workbookViewId="0">
      <selection activeCell="G29" sqref="G29"/>
    </sheetView>
  </sheetViews>
  <sheetFormatPr baseColWidth="10" defaultRowHeight="16" x14ac:dyDescent="0.2"/>
  <cols>
    <col min="2" max="2" width="12.83203125" bestFit="1" customWidth="1"/>
    <col min="3" max="3" width="10.83203125" style="7"/>
  </cols>
  <sheetData>
    <row r="1" spans="1:4" x14ac:dyDescent="0.2">
      <c r="A1" s="1" t="s">
        <v>83</v>
      </c>
      <c r="B1" s="1" t="s">
        <v>280</v>
      </c>
      <c r="C1" s="8" t="s">
        <v>53</v>
      </c>
      <c r="D1" s="1" t="s">
        <v>91</v>
      </c>
    </row>
    <row r="2" spans="1:4" x14ac:dyDescent="0.2">
      <c r="A2" s="7" t="s">
        <v>96</v>
      </c>
      <c r="B2" s="10">
        <v>41518</v>
      </c>
      <c r="C2">
        <f>YEAR(B2)</f>
        <v>2013</v>
      </c>
      <c r="D2">
        <f>MONTH(B2)</f>
        <v>9</v>
      </c>
    </row>
    <row r="3" spans="1:4" x14ac:dyDescent="0.2">
      <c r="A3" s="7" t="s">
        <v>97</v>
      </c>
      <c r="B3" s="10">
        <v>41548</v>
      </c>
      <c r="C3">
        <f t="shared" ref="C3:C66" si="0">YEAR(B3)</f>
        <v>2013</v>
      </c>
      <c r="D3">
        <f t="shared" ref="D3:D66" si="1">MONTH(B3)</f>
        <v>10</v>
      </c>
    </row>
    <row r="4" spans="1:4" x14ac:dyDescent="0.2">
      <c r="A4" s="7" t="s">
        <v>98</v>
      </c>
      <c r="B4" s="10">
        <v>41579</v>
      </c>
      <c r="C4">
        <f t="shared" si="0"/>
        <v>2013</v>
      </c>
      <c r="D4">
        <f t="shared" si="1"/>
        <v>11</v>
      </c>
    </row>
    <row r="5" spans="1:4" x14ac:dyDescent="0.2">
      <c r="A5" s="7" t="s">
        <v>99</v>
      </c>
      <c r="B5" s="10">
        <v>41609</v>
      </c>
      <c r="C5">
        <f t="shared" si="0"/>
        <v>2013</v>
      </c>
      <c r="D5">
        <f t="shared" si="1"/>
        <v>12</v>
      </c>
    </row>
    <row r="6" spans="1:4" x14ac:dyDescent="0.2">
      <c r="A6" s="7" t="s">
        <v>100</v>
      </c>
      <c r="B6" s="10">
        <v>41640</v>
      </c>
      <c r="C6">
        <f t="shared" si="0"/>
        <v>2014</v>
      </c>
      <c r="D6">
        <f t="shared" si="1"/>
        <v>1</v>
      </c>
    </row>
    <row r="7" spans="1:4" x14ac:dyDescent="0.2">
      <c r="A7" s="7" t="s">
        <v>101</v>
      </c>
      <c r="B7" s="10">
        <v>41671</v>
      </c>
      <c r="C7">
        <f t="shared" si="0"/>
        <v>2014</v>
      </c>
      <c r="D7">
        <f t="shared" si="1"/>
        <v>2</v>
      </c>
    </row>
    <row r="8" spans="1:4" x14ac:dyDescent="0.2">
      <c r="A8" s="7" t="s">
        <v>102</v>
      </c>
      <c r="B8" s="10">
        <v>41699</v>
      </c>
      <c r="C8">
        <f t="shared" si="0"/>
        <v>2014</v>
      </c>
      <c r="D8">
        <f t="shared" si="1"/>
        <v>3</v>
      </c>
    </row>
    <row r="9" spans="1:4" x14ac:dyDescent="0.2">
      <c r="A9" s="7" t="s">
        <v>103</v>
      </c>
      <c r="B9" s="10">
        <v>41730</v>
      </c>
      <c r="C9">
        <f t="shared" si="0"/>
        <v>2014</v>
      </c>
      <c r="D9">
        <f t="shared" si="1"/>
        <v>4</v>
      </c>
    </row>
    <row r="10" spans="1:4" x14ac:dyDescent="0.2">
      <c r="A10" s="7" t="s">
        <v>104</v>
      </c>
      <c r="B10" s="10">
        <v>41760</v>
      </c>
      <c r="C10">
        <f t="shared" si="0"/>
        <v>2014</v>
      </c>
      <c r="D10">
        <f t="shared" si="1"/>
        <v>5</v>
      </c>
    </row>
    <row r="11" spans="1:4" x14ac:dyDescent="0.2">
      <c r="A11" s="7" t="s">
        <v>105</v>
      </c>
      <c r="B11" s="10">
        <v>41791</v>
      </c>
      <c r="C11">
        <f t="shared" si="0"/>
        <v>2014</v>
      </c>
      <c r="D11">
        <f t="shared" si="1"/>
        <v>6</v>
      </c>
    </row>
    <row r="12" spans="1:4" x14ac:dyDescent="0.2">
      <c r="A12" s="7" t="s">
        <v>106</v>
      </c>
      <c r="B12" s="10">
        <v>41821</v>
      </c>
      <c r="C12">
        <f t="shared" si="0"/>
        <v>2014</v>
      </c>
      <c r="D12">
        <f t="shared" si="1"/>
        <v>7</v>
      </c>
    </row>
    <row r="13" spans="1:4" x14ac:dyDescent="0.2">
      <c r="A13" s="7" t="s">
        <v>107</v>
      </c>
      <c r="B13" s="10">
        <v>41852</v>
      </c>
      <c r="C13">
        <f t="shared" si="0"/>
        <v>2014</v>
      </c>
      <c r="D13">
        <f t="shared" si="1"/>
        <v>8</v>
      </c>
    </row>
    <row r="14" spans="1:4" x14ac:dyDescent="0.2">
      <c r="A14" s="7" t="s">
        <v>108</v>
      </c>
      <c r="B14" s="10">
        <v>41883</v>
      </c>
      <c r="C14">
        <f t="shared" si="0"/>
        <v>2014</v>
      </c>
      <c r="D14">
        <f t="shared" si="1"/>
        <v>9</v>
      </c>
    </row>
    <row r="15" spans="1:4" x14ac:dyDescent="0.2">
      <c r="A15" s="7" t="s">
        <v>109</v>
      </c>
      <c r="B15" s="10">
        <v>41913</v>
      </c>
      <c r="C15">
        <f t="shared" si="0"/>
        <v>2014</v>
      </c>
      <c r="D15">
        <f t="shared" si="1"/>
        <v>10</v>
      </c>
    </row>
    <row r="16" spans="1:4" x14ac:dyDescent="0.2">
      <c r="A16" s="7" t="s">
        <v>110</v>
      </c>
      <c r="B16" s="10">
        <v>41944</v>
      </c>
      <c r="C16">
        <f t="shared" si="0"/>
        <v>2014</v>
      </c>
      <c r="D16">
        <f t="shared" si="1"/>
        <v>11</v>
      </c>
    </row>
    <row r="17" spans="1:4" x14ac:dyDescent="0.2">
      <c r="A17" s="7" t="s">
        <v>111</v>
      </c>
      <c r="B17" s="10">
        <v>41974</v>
      </c>
      <c r="C17">
        <f t="shared" si="0"/>
        <v>2014</v>
      </c>
      <c r="D17">
        <f t="shared" si="1"/>
        <v>12</v>
      </c>
    </row>
    <row r="18" spans="1:4" x14ac:dyDescent="0.2">
      <c r="A18" s="7" t="s">
        <v>112</v>
      </c>
      <c r="B18" s="10">
        <v>42005</v>
      </c>
      <c r="C18">
        <f t="shared" si="0"/>
        <v>2015</v>
      </c>
      <c r="D18">
        <f t="shared" si="1"/>
        <v>1</v>
      </c>
    </row>
    <row r="19" spans="1:4" x14ac:dyDescent="0.2">
      <c r="A19" s="7" t="s">
        <v>113</v>
      </c>
      <c r="B19" s="10">
        <v>42036</v>
      </c>
      <c r="C19">
        <f t="shared" si="0"/>
        <v>2015</v>
      </c>
      <c r="D19">
        <f t="shared" si="1"/>
        <v>2</v>
      </c>
    </row>
    <row r="20" spans="1:4" x14ac:dyDescent="0.2">
      <c r="A20" s="7" t="s">
        <v>114</v>
      </c>
      <c r="B20" s="10">
        <v>42064</v>
      </c>
      <c r="C20">
        <f t="shared" si="0"/>
        <v>2015</v>
      </c>
      <c r="D20">
        <f t="shared" si="1"/>
        <v>3</v>
      </c>
    </row>
    <row r="21" spans="1:4" x14ac:dyDescent="0.2">
      <c r="A21" s="7" t="s">
        <v>115</v>
      </c>
      <c r="B21" s="10">
        <v>42095</v>
      </c>
      <c r="C21">
        <f t="shared" si="0"/>
        <v>2015</v>
      </c>
      <c r="D21">
        <f t="shared" si="1"/>
        <v>4</v>
      </c>
    </row>
    <row r="22" spans="1:4" x14ac:dyDescent="0.2">
      <c r="A22" s="7" t="s">
        <v>116</v>
      </c>
      <c r="B22" s="10">
        <v>42125</v>
      </c>
      <c r="C22">
        <f t="shared" si="0"/>
        <v>2015</v>
      </c>
      <c r="D22">
        <f t="shared" si="1"/>
        <v>5</v>
      </c>
    </row>
    <row r="23" spans="1:4" x14ac:dyDescent="0.2">
      <c r="A23" s="7" t="s">
        <v>117</v>
      </c>
      <c r="B23" s="10">
        <v>42156</v>
      </c>
      <c r="C23">
        <f t="shared" si="0"/>
        <v>2015</v>
      </c>
      <c r="D23">
        <f t="shared" si="1"/>
        <v>6</v>
      </c>
    </row>
    <row r="24" spans="1:4" x14ac:dyDescent="0.2">
      <c r="A24" s="7" t="s">
        <v>118</v>
      </c>
      <c r="B24" s="10">
        <v>42186</v>
      </c>
      <c r="C24">
        <f t="shared" si="0"/>
        <v>2015</v>
      </c>
      <c r="D24">
        <f t="shared" si="1"/>
        <v>7</v>
      </c>
    </row>
    <row r="25" spans="1:4" x14ac:dyDescent="0.2">
      <c r="A25" s="7" t="s">
        <v>119</v>
      </c>
      <c r="B25" s="10">
        <v>42217</v>
      </c>
      <c r="C25">
        <f t="shared" si="0"/>
        <v>2015</v>
      </c>
      <c r="D25">
        <f t="shared" si="1"/>
        <v>8</v>
      </c>
    </row>
    <row r="26" spans="1:4" x14ac:dyDescent="0.2">
      <c r="A26" s="7" t="s">
        <v>120</v>
      </c>
      <c r="B26" s="10">
        <v>42248</v>
      </c>
      <c r="C26">
        <f t="shared" si="0"/>
        <v>2015</v>
      </c>
      <c r="D26">
        <f t="shared" si="1"/>
        <v>9</v>
      </c>
    </row>
    <row r="27" spans="1:4" x14ac:dyDescent="0.2">
      <c r="A27" s="7" t="s">
        <v>121</v>
      </c>
      <c r="B27" s="10">
        <v>42278</v>
      </c>
      <c r="C27">
        <f t="shared" si="0"/>
        <v>2015</v>
      </c>
      <c r="D27">
        <f t="shared" si="1"/>
        <v>10</v>
      </c>
    </row>
    <row r="28" spans="1:4" x14ac:dyDescent="0.2">
      <c r="A28" s="7" t="s">
        <v>122</v>
      </c>
      <c r="B28" s="10">
        <v>42309</v>
      </c>
      <c r="C28">
        <f t="shared" si="0"/>
        <v>2015</v>
      </c>
      <c r="D28">
        <f t="shared" si="1"/>
        <v>11</v>
      </c>
    </row>
    <row r="29" spans="1:4" x14ac:dyDescent="0.2">
      <c r="A29" s="7" t="s">
        <v>123</v>
      </c>
      <c r="B29" s="10">
        <v>42339</v>
      </c>
      <c r="C29">
        <f t="shared" si="0"/>
        <v>2015</v>
      </c>
      <c r="D29">
        <f t="shared" si="1"/>
        <v>12</v>
      </c>
    </row>
    <row r="30" spans="1:4" x14ac:dyDescent="0.2">
      <c r="A30" s="7" t="s">
        <v>124</v>
      </c>
      <c r="B30" s="10">
        <v>42370</v>
      </c>
      <c r="C30">
        <f t="shared" si="0"/>
        <v>2016</v>
      </c>
      <c r="D30">
        <f t="shared" si="1"/>
        <v>1</v>
      </c>
    </row>
    <row r="31" spans="1:4" x14ac:dyDescent="0.2">
      <c r="A31" s="7" t="s">
        <v>125</v>
      </c>
      <c r="B31" s="10">
        <v>42401</v>
      </c>
      <c r="C31">
        <f t="shared" si="0"/>
        <v>2016</v>
      </c>
      <c r="D31">
        <f t="shared" si="1"/>
        <v>2</v>
      </c>
    </row>
    <row r="32" spans="1:4" x14ac:dyDescent="0.2">
      <c r="A32" s="7" t="s">
        <v>126</v>
      </c>
      <c r="B32" s="10">
        <v>42430</v>
      </c>
      <c r="C32">
        <f t="shared" si="0"/>
        <v>2016</v>
      </c>
      <c r="D32">
        <f t="shared" si="1"/>
        <v>3</v>
      </c>
    </row>
    <row r="33" spans="1:4" x14ac:dyDescent="0.2">
      <c r="A33" s="7" t="s">
        <v>127</v>
      </c>
      <c r="B33" s="10">
        <v>42461</v>
      </c>
      <c r="C33">
        <f t="shared" si="0"/>
        <v>2016</v>
      </c>
      <c r="D33">
        <f t="shared" si="1"/>
        <v>4</v>
      </c>
    </row>
    <row r="34" spans="1:4" x14ac:dyDescent="0.2">
      <c r="A34" s="7" t="s">
        <v>128</v>
      </c>
      <c r="B34" s="10">
        <v>42491</v>
      </c>
      <c r="C34">
        <f t="shared" si="0"/>
        <v>2016</v>
      </c>
      <c r="D34">
        <f t="shared" si="1"/>
        <v>5</v>
      </c>
    </row>
    <row r="35" spans="1:4" x14ac:dyDescent="0.2">
      <c r="A35" s="7" t="s">
        <v>129</v>
      </c>
      <c r="B35" s="10">
        <v>42522</v>
      </c>
      <c r="C35">
        <f t="shared" si="0"/>
        <v>2016</v>
      </c>
      <c r="D35">
        <f t="shared" si="1"/>
        <v>6</v>
      </c>
    </row>
    <row r="36" spans="1:4" x14ac:dyDescent="0.2">
      <c r="A36" s="7" t="s">
        <v>130</v>
      </c>
      <c r="B36" s="10">
        <v>42552</v>
      </c>
      <c r="C36">
        <f t="shared" si="0"/>
        <v>2016</v>
      </c>
      <c r="D36">
        <f t="shared" si="1"/>
        <v>7</v>
      </c>
    </row>
    <row r="37" spans="1:4" x14ac:dyDescent="0.2">
      <c r="A37" s="7" t="s">
        <v>131</v>
      </c>
      <c r="B37" s="10">
        <v>42583</v>
      </c>
      <c r="C37">
        <f t="shared" si="0"/>
        <v>2016</v>
      </c>
      <c r="D37">
        <f t="shared" si="1"/>
        <v>8</v>
      </c>
    </row>
    <row r="38" spans="1:4" x14ac:dyDescent="0.2">
      <c r="A38" s="7" t="s">
        <v>132</v>
      </c>
      <c r="B38" s="10">
        <v>42614</v>
      </c>
      <c r="C38">
        <f t="shared" si="0"/>
        <v>2016</v>
      </c>
      <c r="D38">
        <f t="shared" si="1"/>
        <v>9</v>
      </c>
    </row>
    <row r="39" spans="1:4" x14ac:dyDescent="0.2">
      <c r="A39" s="7" t="s">
        <v>133</v>
      </c>
      <c r="B39" s="10">
        <v>42644</v>
      </c>
      <c r="C39">
        <f t="shared" si="0"/>
        <v>2016</v>
      </c>
      <c r="D39">
        <f t="shared" si="1"/>
        <v>10</v>
      </c>
    </row>
    <row r="40" spans="1:4" x14ac:dyDescent="0.2">
      <c r="A40" s="7" t="s">
        <v>134</v>
      </c>
      <c r="B40" s="10">
        <v>42675</v>
      </c>
      <c r="C40">
        <f t="shared" si="0"/>
        <v>2016</v>
      </c>
      <c r="D40">
        <f t="shared" si="1"/>
        <v>11</v>
      </c>
    </row>
    <row r="41" spans="1:4" x14ac:dyDescent="0.2">
      <c r="A41" s="7" t="s">
        <v>135</v>
      </c>
      <c r="B41" s="10">
        <v>42705</v>
      </c>
      <c r="C41">
        <f t="shared" si="0"/>
        <v>2016</v>
      </c>
      <c r="D41">
        <f t="shared" si="1"/>
        <v>12</v>
      </c>
    </row>
    <row r="42" spans="1:4" x14ac:dyDescent="0.2">
      <c r="A42" s="7" t="s">
        <v>136</v>
      </c>
      <c r="B42" s="10">
        <v>42736</v>
      </c>
      <c r="C42">
        <f t="shared" si="0"/>
        <v>2017</v>
      </c>
      <c r="D42">
        <f t="shared" si="1"/>
        <v>1</v>
      </c>
    </row>
    <row r="43" spans="1:4" x14ac:dyDescent="0.2">
      <c r="A43" s="7" t="s">
        <v>137</v>
      </c>
      <c r="B43" s="10">
        <v>42767</v>
      </c>
      <c r="C43">
        <f t="shared" si="0"/>
        <v>2017</v>
      </c>
      <c r="D43">
        <f t="shared" si="1"/>
        <v>2</v>
      </c>
    </row>
    <row r="44" spans="1:4" x14ac:dyDescent="0.2">
      <c r="A44" s="7" t="s">
        <v>138</v>
      </c>
      <c r="B44" s="10">
        <v>42795</v>
      </c>
      <c r="C44">
        <f t="shared" si="0"/>
        <v>2017</v>
      </c>
      <c r="D44">
        <f t="shared" si="1"/>
        <v>3</v>
      </c>
    </row>
    <row r="45" spans="1:4" x14ac:dyDescent="0.2">
      <c r="A45" s="7" t="s">
        <v>139</v>
      </c>
      <c r="B45" s="10">
        <v>42826</v>
      </c>
      <c r="C45">
        <f t="shared" si="0"/>
        <v>2017</v>
      </c>
      <c r="D45">
        <f t="shared" si="1"/>
        <v>4</v>
      </c>
    </row>
    <row r="46" spans="1:4" x14ac:dyDescent="0.2">
      <c r="A46" s="7" t="s">
        <v>140</v>
      </c>
      <c r="B46" s="10">
        <v>42856</v>
      </c>
      <c r="C46">
        <f t="shared" si="0"/>
        <v>2017</v>
      </c>
      <c r="D46">
        <f t="shared" si="1"/>
        <v>5</v>
      </c>
    </row>
    <row r="47" spans="1:4" x14ac:dyDescent="0.2">
      <c r="A47" s="7" t="s">
        <v>141</v>
      </c>
      <c r="B47" s="10">
        <v>42887</v>
      </c>
      <c r="C47">
        <f t="shared" si="0"/>
        <v>2017</v>
      </c>
      <c r="D47">
        <f t="shared" si="1"/>
        <v>6</v>
      </c>
    </row>
    <row r="48" spans="1:4" x14ac:dyDescent="0.2">
      <c r="A48" s="7" t="s">
        <v>142</v>
      </c>
      <c r="B48" s="10">
        <v>42917</v>
      </c>
      <c r="C48">
        <f t="shared" si="0"/>
        <v>2017</v>
      </c>
      <c r="D48">
        <f t="shared" si="1"/>
        <v>7</v>
      </c>
    </row>
    <row r="49" spans="1:4" x14ac:dyDescent="0.2">
      <c r="A49" s="7" t="s">
        <v>143</v>
      </c>
      <c r="B49" s="10">
        <v>42948</v>
      </c>
      <c r="C49">
        <f t="shared" si="0"/>
        <v>2017</v>
      </c>
      <c r="D49">
        <f t="shared" si="1"/>
        <v>8</v>
      </c>
    </row>
    <row r="50" spans="1:4" x14ac:dyDescent="0.2">
      <c r="A50" s="7" t="s">
        <v>144</v>
      </c>
      <c r="B50" s="10">
        <v>42979</v>
      </c>
      <c r="C50">
        <f t="shared" si="0"/>
        <v>2017</v>
      </c>
      <c r="D50">
        <f t="shared" si="1"/>
        <v>9</v>
      </c>
    </row>
    <row r="51" spans="1:4" x14ac:dyDescent="0.2">
      <c r="A51" s="7" t="s">
        <v>145</v>
      </c>
      <c r="B51" s="10">
        <v>43009</v>
      </c>
      <c r="C51">
        <f t="shared" si="0"/>
        <v>2017</v>
      </c>
      <c r="D51">
        <f t="shared" si="1"/>
        <v>10</v>
      </c>
    </row>
    <row r="52" spans="1:4" x14ac:dyDescent="0.2">
      <c r="A52" s="7" t="s">
        <v>146</v>
      </c>
      <c r="B52" s="10">
        <v>43040</v>
      </c>
      <c r="C52">
        <f t="shared" si="0"/>
        <v>2017</v>
      </c>
      <c r="D52">
        <f t="shared" si="1"/>
        <v>11</v>
      </c>
    </row>
    <row r="53" spans="1:4" x14ac:dyDescent="0.2">
      <c r="A53" s="7" t="s">
        <v>147</v>
      </c>
      <c r="B53" s="10">
        <v>43070</v>
      </c>
      <c r="C53">
        <f t="shared" si="0"/>
        <v>2017</v>
      </c>
      <c r="D53">
        <f t="shared" si="1"/>
        <v>12</v>
      </c>
    </row>
    <row r="54" spans="1:4" x14ac:dyDescent="0.2">
      <c r="A54" s="7" t="s">
        <v>148</v>
      </c>
      <c r="B54" s="10">
        <v>43101</v>
      </c>
      <c r="C54">
        <f t="shared" si="0"/>
        <v>2018</v>
      </c>
      <c r="D54">
        <f t="shared" si="1"/>
        <v>1</v>
      </c>
    </row>
    <row r="55" spans="1:4" x14ac:dyDescent="0.2">
      <c r="A55" s="7" t="s">
        <v>149</v>
      </c>
      <c r="B55" s="10">
        <v>43132</v>
      </c>
      <c r="C55">
        <f t="shared" si="0"/>
        <v>2018</v>
      </c>
      <c r="D55">
        <f t="shared" si="1"/>
        <v>2</v>
      </c>
    </row>
    <row r="56" spans="1:4" x14ac:dyDescent="0.2">
      <c r="A56" s="7" t="s">
        <v>150</v>
      </c>
      <c r="B56" s="10">
        <v>43160</v>
      </c>
      <c r="C56">
        <f t="shared" si="0"/>
        <v>2018</v>
      </c>
      <c r="D56">
        <f t="shared" si="1"/>
        <v>3</v>
      </c>
    </row>
    <row r="57" spans="1:4" x14ac:dyDescent="0.2">
      <c r="A57" s="7" t="s">
        <v>151</v>
      </c>
      <c r="B57" s="10">
        <v>43191</v>
      </c>
      <c r="C57">
        <f t="shared" si="0"/>
        <v>2018</v>
      </c>
      <c r="D57">
        <f t="shared" si="1"/>
        <v>4</v>
      </c>
    </row>
    <row r="58" spans="1:4" x14ac:dyDescent="0.2">
      <c r="A58" s="7" t="s">
        <v>152</v>
      </c>
      <c r="B58" s="10">
        <v>43221</v>
      </c>
      <c r="C58">
        <f t="shared" si="0"/>
        <v>2018</v>
      </c>
      <c r="D58">
        <f t="shared" si="1"/>
        <v>5</v>
      </c>
    </row>
    <row r="59" spans="1:4" x14ac:dyDescent="0.2">
      <c r="A59" s="7" t="s">
        <v>153</v>
      </c>
      <c r="B59" s="10">
        <v>43252</v>
      </c>
      <c r="C59">
        <f t="shared" si="0"/>
        <v>2018</v>
      </c>
      <c r="D59">
        <f t="shared" si="1"/>
        <v>6</v>
      </c>
    </row>
    <row r="60" spans="1:4" x14ac:dyDescent="0.2">
      <c r="A60" s="7" t="s">
        <v>154</v>
      </c>
      <c r="B60" s="10">
        <v>43282</v>
      </c>
      <c r="C60">
        <f t="shared" si="0"/>
        <v>2018</v>
      </c>
      <c r="D60">
        <f t="shared" si="1"/>
        <v>7</v>
      </c>
    </row>
    <row r="61" spans="1:4" x14ac:dyDescent="0.2">
      <c r="A61" s="7" t="s">
        <v>155</v>
      </c>
      <c r="B61" s="10">
        <v>43313</v>
      </c>
      <c r="C61">
        <f t="shared" si="0"/>
        <v>2018</v>
      </c>
      <c r="D61">
        <f t="shared" si="1"/>
        <v>8</v>
      </c>
    </row>
    <row r="62" spans="1:4" x14ac:dyDescent="0.2">
      <c r="A62" s="7" t="s">
        <v>156</v>
      </c>
      <c r="B62" s="10">
        <v>43344</v>
      </c>
      <c r="C62">
        <f t="shared" si="0"/>
        <v>2018</v>
      </c>
      <c r="D62">
        <f t="shared" si="1"/>
        <v>9</v>
      </c>
    </row>
    <row r="63" spans="1:4" x14ac:dyDescent="0.2">
      <c r="A63" s="7" t="s">
        <v>157</v>
      </c>
      <c r="B63" s="10">
        <v>43374</v>
      </c>
      <c r="C63">
        <f t="shared" si="0"/>
        <v>2018</v>
      </c>
      <c r="D63">
        <f t="shared" si="1"/>
        <v>10</v>
      </c>
    </row>
    <row r="64" spans="1:4" x14ac:dyDescent="0.2">
      <c r="A64" s="7" t="s">
        <v>158</v>
      </c>
      <c r="B64" s="10">
        <v>43405</v>
      </c>
      <c r="C64">
        <f t="shared" si="0"/>
        <v>2018</v>
      </c>
      <c r="D64">
        <f t="shared" si="1"/>
        <v>11</v>
      </c>
    </row>
    <row r="65" spans="1:4" x14ac:dyDescent="0.2">
      <c r="A65" s="7" t="s">
        <v>159</v>
      </c>
      <c r="B65" s="10">
        <v>43435</v>
      </c>
      <c r="C65">
        <f t="shared" si="0"/>
        <v>2018</v>
      </c>
      <c r="D65">
        <f t="shared" si="1"/>
        <v>12</v>
      </c>
    </row>
    <row r="66" spans="1:4" x14ac:dyDescent="0.2">
      <c r="A66" s="7" t="s">
        <v>160</v>
      </c>
      <c r="B66" s="10">
        <v>43466</v>
      </c>
      <c r="C66">
        <f t="shared" si="0"/>
        <v>2019</v>
      </c>
      <c r="D66">
        <f t="shared" si="1"/>
        <v>1</v>
      </c>
    </row>
    <row r="67" spans="1:4" x14ac:dyDescent="0.2">
      <c r="A67" s="7" t="s">
        <v>161</v>
      </c>
      <c r="B67" s="10">
        <v>43497</v>
      </c>
      <c r="C67">
        <f t="shared" ref="C67:C130" si="2">YEAR(B67)</f>
        <v>2019</v>
      </c>
      <c r="D67">
        <f t="shared" ref="D67:D130" si="3">MONTH(B67)</f>
        <v>2</v>
      </c>
    </row>
    <row r="68" spans="1:4" x14ac:dyDescent="0.2">
      <c r="A68" s="7" t="s">
        <v>162</v>
      </c>
      <c r="B68" s="10">
        <v>43525</v>
      </c>
      <c r="C68">
        <f t="shared" si="2"/>
        <v>2019</v>
      </c>
      <c r="D68">
        <f t="shared" si="3"/>
        <v>3</v>
      </c>
    </row>
    <row r="69" spans="1:4" x14ac:dyDescent="0.2">
      <c r="A69" s="7" t="s">
        <v>163</v>
      </c>
      <c r="B69" s="10">
        <v>43556</v>
      </c>
      <c r="C69">
        <f t="shared" si="2"/>
        <v>2019</v>
      </c>
      <c r="D69">
        <f t="shared" si="3"/>
        <v>4</v>
      </c>
    </row>
    <row r="70" spans="1:4" x14ac:dyDescent="0.2">
      <c r="A70" s="7" t="s">
        <v>164</v>
      </c>
      <c r="B70" s="10">
        <v>43586</v>
      </c>
      <c r="C70">
        <f t="shared" si="2"/>
        <v>2019</v>
      </c>
      <c r="D70">
        <f t="shared" si="3"/>
        <v>5</v>
      </c>
    </row>
    <row r="71" spans="1:4" x14ac:dyDescent="0.2">
      <c r="A71" s="7" t="s">
        <v>165</v>
      </c>
      <c r="B71" s="10">
        <v>43617</v>
      </c>
      <c r="C71">
        <f t="shared" si="2"/>
        <v>2019</v>
      </c>
      <c r="D71">
        <f t="shared" si="3"/>
        <v>6</v>
      </c>
    </row>
    <row r="72" spans="1:4" x14ac:dyDescent="0.2">
      <c r="A72" s="7" t="s">
        <v>166</v>
      </c>
      <c r="B72" s="10">
        <v>43647</v>
      </c>
      <c r="C72">
        <f t="shared" si="2"/>
        <v>2019</v>
      </c>
      <c r="D72">
        <f t="shared" si="3"/>
        <v>7</v>
      </c>
    </row>
    <row r="73" spans="1:4" x14ac:dyDescent="0.2">
      <c r="A73" s="7" t="s">
        <v>167</v>
      </c>
      <c r="B73" s="10">
        <v>43678</v>
      </c>
      <c r="C73">
        <f t="shared" si="2"/>
        <v>2019</v>
      </c>
      <c r="D73">
        <f t="shared" si="3"/>
        <v>8</v>
      </c>
    </row>
    <row r="74" spans="1:4" x14ac:dyDescent="0.2">
      <c r="A74" s="7" t="s">
        <v>168</v>
      </c>
      <c r="B74" s="10">
        <v>43709</v>
      </c>
      <c r="C74">
        <f t="shared" si="2"/>
        <v>2019</v>
      </c>
      <c r="D74">
        <f t="shared" si="3"/>
        <v>9</v>
      </c>
    </row>
    <row r="75" spans="1:4" x14ac:dyDescent="0.2">
      <c r="A75" s="7" t="s">
        <v>169</v>
      </c>
      <c r="B75" s="10">
        <v>43739</v>
      </c>
      <c r="C75">
        <f t="shared" si="2"/>
        <v>2019</v>
      </c>
      <c r="D75">
        <f t="shared" si="3"/>
        <v>10</v>
      </c>
    </row>
    <row r="76" spans="1:4" x14ac:dyDescent="0.2">
      <c r="A76" s="7" t="s">
        <v>170</v>
      </c>
      <c r="B76" s="10">
        <v>43770</v>
      </c>
      <c r="C76">
        <f t="shared" si="2"/>
        <v>2019</v>
      </c>
      <c r="D76">
        <f t="shared" si="3"/>
        <v>11</v>
      </c>
    </row>
    <row r="77" spans="1:4" x14ac:dyDescent="0.2">
      <c r="A77" s="7" t="s">
        <v>171</v>
      </c>
      <c r="B77" s="10">
        <v>43800</v>
      </c>
      <c r="C77">
        <f t="shared" si="2"/>
        <v>2019</v>
      </c>
      <c r="D77">
        <f t="shared" si="3"/>
        <v>12</v>
      </c>
    </row>
    <row r="78" spans="1:4" x14ac:dyDescent="0.2">
      <c r="A78" s="7" t="s">
        <v>172</v>
      </c>
      <c r="B78" s="10">
        <v>43831</v>
      </c>
      <c r="C78">
        <f t="shared" si="2"/>
        <v>2020</v>
      </c>
      <c r="D78">
        <f t="shared" si="3"/>
        <v>1</v>
      </c>
    </row>
    <row r="79" spans="1:4" x14ac:dyDescent="0.2">
      <c r="A79" s="7" t="s">
        <v>173</v>
      </c>
      <c r="B79" s="10">
        <v>43862</v>
      </c>
      <c r="C79">
        <f t="shared" si="2"/>
        <v>2020</v>
      </c>
      <c r="D79">
        <f t="shared" si="3"/>
        <v>2</v>
      </c>
    </row>
    <row r="80" spans="1:4" x14ac:dyDescent="0.2">
      <c r="A80" s="7" t="s">
        <v>174</v>
      </c>
      <c r="B80" s="10">
        <v>43891</v>
      </c>
      <c r="C80">
        <f t="shared" si="2"/>
        <v>2020</v>
      </c>
      <c r="D80">
        <f t="shared" si="3"/>
        <v>3</v>
      </c>
    </row>
    <row r="81" spans="1:4" x14ac:dyDescent="0.2">
      <c r="A81" s="7" t="s">
        <v>175</v>
      </c>
      <c r="B81" s="10">
        <v>43922</v>
      </c>
      <c r="C81">
        <f t="shared" si="2"/>
        <v>2020</v>
      </c>
      <c r="D81">
        <f t="shared" si="3"/>
        <v>4</v>
      </c>
    </row>
    <row r="82" spans="1:4" x14ac:dyDescent="0.2">
      <c r="A82" s="7" t="s">
        <v>176</v>
      </c>
      <c r="B82" s="10">
        <v>43952</v>
      </c>
      <c r="C82">
        <f t="shared" si="2"/>
        <v>2020</v>
      </c>
      <c r="D82">
        <f t="shared" si="3"/>
        <v>5</v>
      </c>
    </row>
    <row r="83" spans="1:4" x14ac:dyDescent="0.2">
      <c r="A83" s="7" t="s">
        <v>177</v>
      </c>
      <c r="B83" s="10">
        <v>43983</v>
      </c>
      <c r="C83">
        <f t="shared" si="2"/>
        <v>2020</v>
      </c>
      <c r="D83">
        <f t="shared" si="3"/>
        <v>6</v>
      </c>
    </row>
    <row r="84" spans="1:4" x14ac:dyDescent="0.2">
      <c r="A84" s="7" t="s">
        <v>178</v>
      </c>
      <c r="B84" s="10">
        <v>44013</v>
      </c>
      <c r="C84">
        <f t="shared" si="2"/>
        <v>2020</v>
      </c>
      <c r="D84">
        <f t="shared" si="3"/>
        <v>7</v>
      </c>
    </row>
    <row r="85" spans="1:4" x14ac:dyDescent="0.2">
      <c r="A85" s="7" t="s">
        <v>179</v>
      </c>
      <c r="B85" s="10">
        <v>44044</v>
      </c>
      <c r="C85">
        <f t="shared" si="2"/>
        <v>2020</v>
      </c>
      <c r="D85">
        <f t="shared" si="3"/>
        <v>8</v>
      </c>
    </row>
    <row r="86" spans="1:4" x14ac:dyDescent="0.2">
      <c r="A86" s="7" t="s">
        <v>180</v>
      </c>
      <c r="B86" s="10">
        <v>44075</v>
      </c>
      <c r="C86">
        <f t="shared" si="2"/>
        <v>2020</v>
      </c>
      <c r="D86">
        <f t="shared" si="3"/>
        <v>9</v>
      </c>
    </row>
    <row r="87" spans="1:4" x14ac:dyDescent="0.2">
      <c r="A87" s="7" t="s">
        <v>181</v>
      </c>
      <c r="B87" s="10">
        <v>44105</v>
      </c>
      <c r="C87">
        <f t="shared" si="2"/>
        <v>2020</v>
      </c>
      <c r="D87">
        <f t="shared" si="3"/>
        <v>10</v>
      </c>
    </row>
    <row r="88" spans="1:4" x14ac:dyDescent="0.2">
      <c r="A88" s="7" t="s">
        <v>182</v>
      </c>
      <c r="B88" s="10">
        <v>44136</v>
      </c>
      <c r="C88">
        <f t="shared" si="2"/>
        <v>2020</v>
      </c>
      <c r="D88">
        <f t="shared" si="3"/>
        <v>11</v>
      </c>
    </row>
    <row r="89" spans="1:4" x14ac:dyDescent="0.2">
      <c r="A89" s="7" t="s">
        <v>183</v>
      </c>
      <c r="B89" s="10">
        <v>44166</v>
      </c>
      <c r="C89">
        <f t="shared" si="2"/>
        <v>2020</v>
      </c>
      <c r="D89">
        <f t="shared" si="3"/>
        <v>12</v>
      </c>
    </row>
    <row r="90" spans="1:4" x14ac:dyDescent="0.2">
      <c r="A90" s="7" t="s">
        <v>184</v>
      </c>
      <c r="B90" s="10">
        <v>44197</v>
      </c>
      <c r="C90">
        <f t="shared" si="2"/>
        <v>2021</v>
      </c>
      <c r="D90">
        <f t="shared" si="3"/>
        <v>1</v>
      </c>
    </row>
    <row r="91" spans="1:4" x14ac:dyDescent="0.2">
      <c r="A91" s="7" t="s">
        <v>185</v>
      </c>
      <c r="B91" s="10">
        <v>44228</v>
      </c>
      <c r="C91">
        <f t="shared" si="2"/>
        <v>2021</v>
      </c>
      <c r="D91">
        <f t="shared" si="3"/>
        <v>2</v>
      </c>
    </row>
    <row r="92" spans="1:4" x14ac:dyDescent="0.2">
      <c r="A92" s="7" t="s">
        <v>186</v>
      </c>
      <c r="B92" s="10">
        <v>44256</v>
      </c>
      <c r="C92">
        <f t="shared" si="2"/>
        <v>2021</v>
      </c>
      <c r="D92">
        <f t="shared" si="3"/>
        <v>3</v>
      </c>
    </row>
    <row r="93" spans="1:4" x14ac:dyDescent="0.2">
      <c r="A93" s="7" t="s">
        <v>187</v>
      </c>
      <c r="B93" s="10">
        <v>44287</v>
      </c>
      <c r="C93">
        <f t="shared" si="2"/>
        <v>2021</v>
      </c>
      <c r="D93">
        <f t="shared" si="3"/>
        <v>4</v>
      </c>
    </row>
    <row r="94" spans="1:4" x14ac:dyDescent="0.2">
      <c r="A94" s="7" t="s">
        <v>188</v>
      </c>
      <c r="B94" s="10">
        <v>44317</v>
      </c>
      <c r="C94">
        <f t="shared" si="2"/>
        <v>2021</v>
      </c>
      <c r="D94">
        <f t="shared" si="3"/>
        <v>5</v>
      </c>
    </row>
    <row r="95" spans="1:4" x14ac:dyDescent="0.2">
      <c r="A95" s="7" t="s">
        <v>189</v>
      </c>
      <c r="B95" s="10">
        <v>44348</v>
      </c>
      <c r="C95">
        <f t="shared" si="2"/>
        <v>2021</v>
      </c>
      <c r="D95">
        <f t="shared" si="3"/>
        <v>6</v>
      </c>
    </row>
    <row r="96" spans="1:4" x14ac:dyDescent="0.2">
      <c r="A96" s="7" t="s">
        <v>190</v>
      </c>
      <c r="B96" s="10">
        <v>44378</v>
      </c>
      <c r="C96">
        <f t="shared" si="2"/>
        <v>2021</v>
      </c>
      <c r="D96">
        <f t="shared" si="3"/>
        <v>7</v>
      </c>
    </row>
    <row r="97" spans="1:4" x14ac:dyDescent="0.2">
      <c r="A97" s="7" t="s">
        <v>191</v>
      </c>
      <c r="B97" s="10">
        <v>44409</v>
      </c>
      <c r="C97">
        <f t="shared" si="2"/>
        <v>2021</v>
      </c>
      <c r="D97">
        <f t="shared" si="3"/>
        <v>8</v>
      </c>
    </row>
    <row r="98" spans="1:4" x14ac:dyDescent="0.2">
      <c r="A98" s="7" t="s">
        <v>192</v>
      </c>
      <c r="B98" s="10">
        <v>44440</v>
      </c>
      <c r="C98">
        <f t="shared" si="2"/>
        <v>2021</v>
      </c>
      <c r="D98">
        <f t="shared" si="3"/>
        <v>9</v>
      </c>
    </row>
    <row r="99" spans="1:4" x14ac:dyDescent="0.2">
      <c r="A99" s="7" t="s">
        <v>193</v>
      </c>
      <c r="B99" s="10">
        <v>44470</v>
      </c>
      <c r="C99">
        <f t="shared" si="2"/>
        <v>2021</v>
      </c>
      <c r="D99">
        <f t="shared" si="3"/>
        <v>10</v>
      </c>
    </row>
    <row r="100" spans="1:4" x14ac:dyDescent="0.2">
      <c r="A100" s="7" t="s">
        <v>194</v>
      </c>
      <c r="B100" s="10">
        <v>44501</v>
      </c>
      <c r="C100">
        <f t="shared" si="2"/>
        <v>2021</v>
      </c>
      <c r="D100">
        <f t="shared" si="3"/>
        <v>11</v>
      </c>
    </row>
    <row r="101" spans="1:4" x14ac:dyDescent="0.2">
      <c r="A101" s="7" t="s">
        <v>195</v>
      </c>
      <c r="B101" s="10">
        <v>44531</v>
      </c>
      <c r="C101">
        <f t="shared" si="2"/>
        <v>2021</v>
      </c>
      <c r="D101">
        <f t="shared" si="3"/>
        <v>12</v>
      </c>
    </row>
    <row r="102" spans="1:4" x14ac:dyDescent="0.2">
      <c r="A102" s="7" t="s">
        <v>196</v>
      </c>
      <c r="B102" s="10">
        <v>44562</v>
      </c>
      <c r="C102">
        <f t="shared" si="2"/>
        <v>2022</v>
      </c>
      <c r="D102">
        <f t="shared" si="3"/>
        <v>1</v>
      </c>
    </row>
    <row r="103" spans="1:4" x14ac:dyDescent="0.2">
      <c r="A103" s="7" t="s">
        <v>197</v>
      </c>
      <c r="B103" s="10">
        <v>44593</v>
      </c>
      <c r="C103">
        <f t="shared" si="2"/>
        <v>2022</v>
      </c>
      <c r="D103">
        <f t="shared" si="3"/>
        <v>2</v>
      </c>
    </row>
    <row r="104" spans="1:4" x14ac:dyDescent="0.2">
      <c r="A104" s="7" t="s">
        <v>198</v>
      </c>
      <c r="B104" s="10">
        <v>44621</v>
      </c>
      <c r="C104">
        <f t="shared" si="2"/>
        <v>2022</v>
      </c>
      <c r="D104">
        <f t="shared" si="3"/>
        <v>3</v>
      </c>
    </row>
    <row r="105" spans="1:4" x14ac:dyDescent="0.2">
      <c r="A105" s="7" t="s">
        <v>199</v>
      </c>
      <c r="B105" s="10">
        <v>44652</v>
      </c>
      <c r="C105">
        <f t="shared" si="2"/>
        <v>2022</v>
      </c>
      <c r="D105">
        <f t="shared" si="3"/>
        <v>4</v>
      </c>
    </row>
    <row r="106" spans="1:4" x14ac:dyDescent="0.2">
      <c r="A106" s="7" t="s">
        <v>200</v>
      </c>
      <c r="B106" s="10">
        <v>44682</v>
      </c>
      <c r="C106">
        <f t="shared" si="2"/>
        <v>2022</v>
      </c>
      <c r="D106">
        <f t="shared" si="3"/>
        <v>5</v>
      </c>
    </row>
    <row r="107" spans="1:4" x14ac:dyDescent="0.2">
      <c r="A107" s="7" t="s">
        <v>201</v>
      </c>
      <c r="B107" s="10">
        <v>44713</v>
      </c>
      <c r="C107">
        <f t="shared" si="2"/>
        <v>2022</v>
      </c>
      <c r="D107">
        <f t="shared" si="3"/>
        <v>6</v>
      </c>
    </row>
    <row r="108" spans="1:4" x14ac:dyDescent="0.2">
      <c r="A108" s="7" t="s">
        <v>202</v>
      </c>
      <c r="B108" s="10">
        <v>44743</v>
      </c>
      <c r="C108">
        <f t="shared" si="2"/>
        <v>2022</v>
      </c>
      <c r="D108">
        <f t="shared" si="3"/>
        <v>7</v>
      </c>
    </row>
    <row r="109" spans="1:4" x14ac:dyDescent="0.2">
      <c r="A109" s="7" t="s">
        <v>203</v>
      </c>
      <c r="B109" s="10">
        <v>44774</v>
      </c>
      <c r="C109">
        <f t="shared" si="2"/>
        <v>2022</v>
      </c>
      <c r="D109">
        <f t="shared" si="3"/>
        <v>8</v>
      </c>
    </row>
    <row r="110" spans="1:4" x14ac:dyDescent="0.2">
      <c r="A110" s="7" t="s">
        <v>204</v>
      </c>
      <c r="B110" s="10">
        <v>44805</v>
      </c>
      <c r="C110">
        <f t="shared" si="2"/>
        <v>2022</v>
      </c>
      <c r="D110">
        <f t="shared" si="3"/>
        <v>9</v>
      </c>
    </row>
    <row r="111" spans="1:4" x14ac:dyDescent="0.2">
      <c r="A111" s="7" t="s">
        <v>205</v>
      </c>
      <c r="B111" s="10">
        <v>44835</v>
      </c>
      <c r="C111">
        <f t="shared" si="2"/>
        <v>2022</v>
      </c>
      <c r="D111">
        <f t="shared" si="3"/>
        <v>10</v>
      </c>
    </row>
    <row r="112" spans="1:4" x14ac:dyDescent="0.2">
      <c r="A112" s="7" t="s">
        <v>206</v>
      </c>
      <c r="B112" s="10">
        <v>44866</v>
      </c>
      <c r="C112">
        <f t="shared" si="2"/>
        <v>2022</v>
      </c>
      <c r="D112">
        <f t="shared" si="3"/>
        <v>11</v>
      </c>
    </row>
    <row r="113" spans="1:4" x14ac:dyDescent="0.2">
      <c r="A113" s="7" t="s">
        <v>207</v>
      </c>
      <c r="B113" s="10">
        <v>44896</v>
      </c>
      <c r="C113">
        <f t="shared" si="2"/>
        <v>2022</v>
      </c>
      <c r="D113">
        <f t="shared" si="3"/>
        <v>12</v>
      </c>
    </row>
    <row r="114" spans="1:4" x14ac:dyDescent="0.2">
      <c r="A114" s="7" t="s">
        <v>208</v>
      </c>
      <c r="B114" s="10">
        <v>44927</v>
      </c>
      <c r="C114">
        <f t="shared" si="2"/>
        <v>2023</v>
      </c>
      <c r="D114">
        <f t="shared" si="3"/>
        <v>1</v>
      </c>
    </row>
    <row r="115" spans="1:4" x14ac:dyDescent="0.2">
      <c r="A115" s="7" t="s">
        <v>209</v>
      </c>
      <c r="B115" s="10">
        <v>44958</v>
      </c>
      <c r="C115">
        <f t="shared" si="2"/>
        <v>2023</v>
      </c>
      <c r="D115">
        <f t="shared" si="3"/>
        <v>2</v>
      </c>
    </row>
    <row r="116" spans="1:4" x14ac:dyDescent="0.2">
      <c r="A116" s="7" t="s">
        <v>210</v>
      </c>
      <c r="B116" s="10">
        <v>44986</v>
      </c>
      <c r="C116">
        <f t="shared" si="2"/>
        <v>2023</v>
      </c>
      <c r="D116">
        <f t="shared" si="3"/>
        <v>3</v>
      </c>
    </row>
    <row r="117" spans="1:4" x14ac:dyDescent="0.2">
      <c r="A117" s="7" t="s">
        <v>211</v>
      </c>
      <c r="B117" s="10">
        <v>45017</v>
      </c>
      <c r="C117">
        <f t="shared" si="2"/>
        <v>2023</v>
      </c>
      <c r="D117">
        <f t="shared" si="3"/>
        <v>4</v>
      </c>
    </row>
    <row r="118" spans="1:4" x14ac:dyDescent="0.2">
      <c r="A118" s="7" t="s">
        <v>212</v>
      </c>
      <c r="B118" s="10">
        <v>45047</v>
      </c>
      <c r="C118">
        <f t="shared" si="2"/>
        <v>2023</v>
      </c>
      <c r="D118">
        <f t="shared" si="3"/>
        <v>5</v>
      </c>
    </row>
    <row r="119" spans="1:4" x14ac:dyDescent="0.2">
      <c r="A119" s="7" t="s">
        <v>213</v>
      </c>
      <c r="B119" s="10">
        <v>45078</v>
      </c>
      <c r="C119">
        <f t="shared" si="2"/>
        <v>2023</v>
      </c>
      <c r="D119">
        <f t="shared" si="3"/>
        <v>6</v>
      </c>
    </row>
    <row r="120" spans="1:4" x14ac:dyDescent="0.2">
      <c r="A120" s="7" t="s">
        <v>214</v>
      </c>
      <c r="B120" s="10">
        <v>45108</v>
      </c>
      <c r="C120">
        <f t="shared" si="2"/>
        <v>2023</v>
      </c>
      <c r="D120">
        <f t="shared" si="3"/>
        <v>7</v>
      </c>
    </row>
    <row r="121" spans="1:4" x14ac:dyDescent="0.2">
      <c r="A121" s="7" t="s">
        <v>215</v>
      </c>
      <c r="B121" s="10">
        <v>45139</v>
      </c>
      <c r="C121">
        <f t="shared" si="2"/>
        <v>2023</v>
      </c>
      <c r="D121">
        <f t="shared" si="3"/>
        <v>8</v>
      </c>
    </row>
    <row r="122" spans="1:4" x14ac:dyDescent="0.2">
      <c r="A122" s="7" t="s">
        <v>216</v>
      </c>
      <c r="B122" s="10">
        <v>45170</v>
      </c>
      <c r="C122">
        <f t="shared" si="2"/>
        <v>2023</v>
      </c>
      <c r="D122">
        <f t="shared" si="3"/>
        <v>9</v>
      </c>
    </row>
    <row r="123" spans="1:4" x14ac:dyDescent="0.2">
      <c r="A123" s="7" t="s">
        <v>217</v>
      </c>
      <c r="B123" s="10">
        <v>45200</v>
      </c>
      <c r="C123">
        <f t="shared" si="2"/>
        <v>2023</v>
      </c>
      <c r="D123">
        <f t="shared" si="3"/>
        <v>10</v>
      </c>
    </row>
    <row r="124" spans="1:4" x14ac:dyDescent="0.2">
      <c r="A124" s="7" t="s">
        <v>218</v>
      </c>
      <c r="B124" s="10">
        <v>45231</v>
      </c>
      <c r="C124">
        <f t="shared" si="2"/>
        <v>2023</v>
      </c>
      <c r="D124">
        <f t="shared" si="3"/>
        <v>11</v>
      </c>
    </row>
    <row r="125" spans="1:4" x14ac:dyDescent="0.2">
      <c r="A125" s="7" t="s">
        <v>219</v>
      </c>
      <c r="B125" s="10">
        <v>45261</v>
      </c>
      <c r="C125">
        <f t="shared" si="2"/>
        <v>2023</v>
      </c>
      <c r="D125">
        <f t="shared" si="3"/>
        <v>12</v>
      </c>
    </row>
    <row r="126" spans="1:4" x14ac:dyDescent="0.2">
      <c r="A126" s="7" t="s">
        <v>220</v>
      </c>
      <c r="B126" s="10">
        <v>45292</v>
      </c>
      <c r="C126">
        <f t="shared" si="2"/>
        <v>2024</v>
      </c>
      <c r="D126">
        <f t="shared" si="3"/>
        <v>1</v>
      </c>
    </row>
    <row r="127" spans="1:4" x14ac:dyDescent="0.2">
      <c r="A127" s="7" t="s">
        <v>221</v>
      </c>
      <c r="B127" s="10">
        <v>45323</v>
      </c>
      <c r="C127">
        <f t="shared" si="2"/>
        <v>2024</v>
      </c>
      <c r="D127">
        <f t="shared" si="3"/>
        <v>2</v>
      </c>
    </row>
    <row r="128" spans="1:4" x14ac:dyDescent="0.2">
      <c r="A128" s="7" t="s">
        <v>222</v>
      </c>
      <c r="B128" s="10">
        <v>45352</v>
      </c>
      <c r="C128">
        <f t="shared" si="2"/>
        <v>2024</v>
      </c>
      <c r="D128">
        <f t="shared" si="3"/>
        <v>3</v>
      </c>
    </row>
    <row r="129" spans="1:4" x14ac:dyDescent="0.2">
      <c r="A129" s="7" t="s">
        <v>223</v>
      </c>
      <c r="B129" s="10">
        <v>45383</v>
      </c>
      <c r="C129">
        <f t="shared" si="2"/>
        <v>2024</v>
      </c>
      <c r="D129">
        <f t="shared" si="3"/>
        <v>4</v>
      </c>
    </row>
    <row r="130" spans="1:4" x14ac:dyDescent="0.2">
      <c r="A130" s="7" t="s">
        <v>224</v>
      </c>
      <c r="B130" s="10">
        <v>45413</v>
      </c>
      <c r="C130">
        <f t="shared" si="2"/>
        <v>2024</v>
      </c>
      <c r="D130">
        <f t="shared" si="3"/>
        <v>5</v>
      </c>
    </row>
    <row r="131" spans="1:4" x14ac:dyDescent="0.2">
      <c r="A131" s="7" t="s">
        <v>225</v>
      </c>
      <c r="B131" s="10">
        <v>45444</v>
      </c>
      <c r="C131">
        <f t="shared" ref="C131:C185" si="4">YEAR(B131)</f>
        <v>2024</v>
      </c>
      <c r="D131">
        <f t="shared" ref="D131:D185" si="5">MONTH(B131)</f>
        <v>6</v>
      </c>
    </row>
    <row r="132" spans="1:4" x14ac:dyDescent="0.2">
      <c r="A132" s="7" t="s">
        <v>226</v>
      </c>
      <c r="B132" s="10">
        <v>45474</v>
      </c>
      <c r="C132">
        <f t="shared" si="4"/>
        <v>2024</v>
      </c>
      <c r="D132">
        <f t="shared" si="5"/>
        <v>7</v>
      </c>
    </row>
    <row r="133" spans="1:4" x14ac:dyDescent="0.2">
      <c r="A133" s="7" t="s">
        <v>227</v>
      </c>
      <c r="B133" s="10">
        <v>45505</v>
      </c>
      <c r="C133">
        <f t="shared" si="4"/>
        <v>2024</v>
      </c>
      <c r="D133">
        <f t="shared" si="5"/>
        <v>8</v>
      </c>
    </row>
    <row r="134" spans="1:4" x14ac:dyDescent="0.2">
      <c r="A134" s="7" t="s">
        <v>228</v>
      </c>
      <c r="B134" s="10">
        <v>45536</v>
      </c>
      <c r="C134">
        <f t="shared" si="4"/>
        <v>2024</v>
      </c>
      <c r="D134">
        <f t="shared" si="5"/>
        <v>9</v>
      </c>
    </row>
    <row r="135" spans="1:4" x14ac:dyDescent="0.2">
      <c r="A135" s="7" t="s">
        <v>229</v>
      </c>
      <c r="B135" s="10">
        <v>45566</v>
      </c>
      <c r="C135">
        <f t="shared" si="4"/>
        <v>2024</v>
      </c>
      <c r="D135">
        <f t="shared" si="5"/>
        <v>10</v>
      </c>
    </row>
    <row r="136" spans="1:4" x14ac:dyDescent="0.2">
      <c r="A136" s="7" t="s">
        <v>230</v>
      </c>
      <c r="B136" s="10">
        <v>45597</v>
      </c>
      <c r="C136">
        <f t="shared" si="4"/>
        <v>2024</v>
      </c>
      <c r="D136">
        <f t="shared" si="5"/>
        <v>11</v>
      </c>
    </row>
    <row r="137" spans="1:4" x14ac:dyDescent="0.2">
      <c r="A137" s="7" t="s">
        <v>231</v>
      </c>
      <c r="B137" s="10">
        <v>45627</v>
      </c>
      <c r="C137">
        <f t="shared" si="4"/>
        <v>2024</v>
      </c>
      <c r="D137">
        <f t="shared" si="5"/>
        <v>12</v>
      </c>
    </row>
    <row r="138" spans="1:4" x14ac:dyDescent="0.2">
      <c r="A138" s="7" t="s">
        <v>232</v>
      </c>
      <c r="B138" s="10">
        <v>45658</v>
      </c>
      <c r="C138">
        <f t="shared" si="4"/>
        <v>2025</v>
      </c>
      <c r="D138">
        <f t="shared" si="5"/>
        <v>1</v>
      </c>
    </row>
    <row r="139" spans="1:4" x14ac:dyDescent="0.2">
      <c r="A139" s="7" t="s">
        <v>233</v>
      </c>
      <c r="B139" s="10">
        <v>45689</v>
      </c>
      <c r="C139">
        <f t="shared" si="4"/>
        <v>2025</v>
      </c>
      <c r="D139">
        <f t="shared" si="5"/>
        <v>2</v>
      </c>
    </row>
    <row r="140" spans="1:4" x14ac:dyDescent="0.2">
      <c r="A140" s="7" t="s">
        <v>234</v>
      </c>
      <c r="B140" s="10">
        <v>45717</v>
      </c>
      <c r="C140">
        <f t="shared" si="4"/>
        <v>2025</v>
      </c>
      <c r="D140">
        <f t="shared" si="5"/>
        <v>3</v>
      </c>
    </row>
    <row r="141" spans="1:4" x14ac:dyDescent="0.2">
      <c r="A141" s="7" t="s">
        <v>235</v>
      </c>
      <c r="B141" s="10">
        <v>45748</v>
      </c>
      <c r="C141">
        <f t="shared" si="4"/>
        <v>2025</v>
      </c>
      <c r="D141">
        <f t="shared" si="5"/>
        <v>4</v>
      </c>
    </row>
    <row r="142" spans="1:4" x14ac:dyDescent="0.2">
      <c r="A142" s="7" t="s">
        <v>236</v>
      </c>
      <c r="B142" s="10">
        <v>45778</v>
      </c>
      <c r="C142">
        <f t="shared" si="4"/>
        <v>2025</v>
      </c>
      <c r="D142">
        <f t="shared" si="5"/>
        <v>5</v>
      </c>
    </row>
    <row r="143" spans="1:4" x14ac:dyDescent="0.2">
      <c r="A143" s="7" t="s">
        <v>237</v>
      </c>
      <c r="B143" s="10">
        <v>45809</v>
      </c>
      <c r="C143">
        <f t="shared" si="4"/>
        <v>2025</v>
      </c>
      <c r="D143">
        <f t="shared" si="5"/>
        <v>6</v>
      </c>
    </row>
    <row r="144" spans="1:4" x14ac:dyDescent="0.2">
      <c r="A144" s="7" t="s">
        <v>238</v>
      </c>
      <c r="B144" s="10">
        <v>45839</v>
      </c>
      <c r="C144">
        <f t="shared" si="4"/>
        <v>2025</v>
      </c>
      <c r="D144">
        <f t="shared" si="5"/>
        <v>7</v>
      </c>
    </row>
    <row r="145" spans="1:4" x14ac:dyDescent="0.2">
      <c r="A145" s="7" t="s">
        <v>239</v>
      </c>
      <c r="B145" s="10">
        <v>45870</v>
      </c>
      <c r="C145">
        <f t="shared" si="4"/>
        <v>2025</v>
      </c>
      <c r="D145">
        <f t="shared" si="5"/>
        <v>8</v>
      </c>
    </row>
    <row r="146" spans="1:4" x14ac:dyDescent="0.2">
      <c r="A146" s="7" t="s">
        <v>240</v>
      </c>
      <c r="B146" s="10">
        <v>45901</v>
      </c>
      <c r="C146">
        <f t="shared" si="4"/>
        <v>2025</v>
      </c>
      <c r="D146">
        <f t="shared" si="5"/>
        <v>9</v>
      </c>
    </row>
    <row r="147" spans="1:4" x14ac:dyDescent="0.2">
      <c r="A147" s="7" t="s">
        <v>241</v>
      </c>
      <c r="B147" s="10">
        <v>45931</v>
      </c>
      <c r="C147">
        <f t="shared" si="4"/>
        <v>2025</v>
      </c>
      <c r="D147">
        <f t="shared" si="5"/>
        <v>10</v>
      </c>
    </row>
    <row r="148" spans="1:4" x14ac:dyDescent="0.2">
      <c r="A148" s="7" t="s">
        <v>242</v>
      </c>
      <c r="B148" s="10">
        <v>45962</v>
      </c>
      <c r="C148">
        <f t="shared" si="4"/>
        <v>2025</v>
      </c>
      <c r="D148">
        <f t="shared" si="5"/>
        <v>11</v>
      </c>
    </row>
    <row r="149" spans="1:4" x14ac:dyDescent="0.2">
      <c r="A149" s="7" t="s">
        <v>243</v>
      </c>
      <c r="B149" s="10">
        <v>45992</v>
      </c>
      <c r="C149">
        <f t="shared" si="4"/>
        <v>2025</v>
      </c>
      <c r="D149">
        <f t="shared" si="5"/>
        <v>12</v>
      </c>
    </row>
    <row r="150" spans="1:4" x14ac:dyDescent="0.2">
      <c r="A150" s="7" t="s">
        <v>244</v>
      </c>
      <c r="B150" s="10">
        <v>46023</v>
      </c>
      <c r="C150">
        <f t="shared" si="4"/>
        <v>2026</v>
      </c>
      <c r="D150">
        <f t="shared" si="5"/>
        <v>1</v>
      </c>
    </row>
    <row r="151" spans="1:4" x14ac:dyDescent="0.2">
      <c r="A151" s="7" t="s">
        <v>245</v>
      </c>
      <c r="B151" s="10">
        <v>46054</v>
      </c>
      <c r="C151">
        <f t="shared" si="4"/>
        <v>2026</v>
      </c>
      <c r="D151">
        <f t="shared" si="5"/>
        <v>2</v>
      </c>
    </row>
    <row r="152" spans="1:4" x14ac:dyDescent="0.2">
      <c r="A152" s="7" t="s">
        <v>246</v>
      </c>
      <c r="B152" s="10">
        <v>46082</v>
      </c>
      <c r="C152">
        <f t="shared" si="4"/>
        <v>2026</v>
      </c>
      <c r="D152">
        <f t="shared" si="5"/>
        <v>3</v>
      </c>
    </row>
    <row r="153" spans="1:4" x14ac:dyDescent="0.2">
      <c r="A153" s="7" t="s">
        <v>247</v>
      </c>
      <c r="B153" s="10">
        <v>46113</v>
      </c>
      <c r="C153">
        <f t="shared" si="4"/>
        <v>2026</v>
      </c>
      <c r="D153">
        <f t="shared" si="5"/>
        <v>4</v>
      </c>
    </row>
    <row r="154" spans="1:4" x14ac:dyDescent="0.2">
      <c r="A154" s="7" t="s">
        <v>248</v>
      </c>
      <c r="B154" s="10">
        <v>46143</v>
      </c>
      <c r="C154">
        <f t="shared" si="4"/>
        <v>2026</v>
      </c>
      <c r="D154">
        <f t="shared" si="5"/>
        <v>5</v>
      </c>
    </row>
    <row r="155" spans="1:4" x14ac:dyDescent="0.2">
      <c r="A155" s="7" t="s">
        <v>249</v>
      </c>
      <c r="B155" s="10">
        <v>46174</v>
      </c>
      <c r="C155">
        <f t="shared" si="4"/>
        <v>2026</v>
      </c>
      <c r="D155">
        <f t="shared" si="5"/>
        <v>6</v>
      </c>
    </row>
    <row r="156" spans="1:4" x14ac:dyDescent="0.2">
      <c r="A156" s="7" t="s">
        <v>250</v>
      </c>
      <c r="B156" s="10">
        <v>46204</v>
      </c>
      <c r="C156">
        <f t="shared" si="4"/>
        <v>2026</v>
      </c>
      <c r="D156">
        <f t="shared" si="5"/>
        <v>7</v>
      </c>
    </row>
    <row r="157" spans="1:4" x14ac:dyDescent="0.2">
      <c r="A157" s="7" t="s">
        <v>251</v>
      </c>
      <c r="B157" s="10">
        <v>46235</v>
      </c>
      <c r="C157">
        <f t="shared" si="4"/>
        <v>2026</v>
      </c>
      <c r="D157">
        <f t="shared" si="5"/>
        <v>8</v>
      </c>
    </row>
    <row r="158" spans="1:4" x14ac:dyDescent="0.2">
      <c r="A158" s="7" t="s">
        <v>252</v>
      </c>
      <c r="B158" s="10">
        <v>46266</v>
      </c>
      <c r="C158">
        <f t="shared" si="4"/>
        <v>2026</v>
      </c>
      <c r="D158">
        <f t="shared" si="5"/>
        <v>9</v>
      </c>
    </row>
    <row r="159" spans="1:4" x14ac:dyDescent="0.2">
      <c r="A159" s="7" t="s">
        <v>253</v>
      </c>
      <c r="B159" s="10">
        <v>46296</v>
      </c>
      <c r="C159">
        <f t="shared" si="4"/>
        <v>2026</v>
      </c>
      <c r="D159">
        <f t="shared" si="5"/>
        <v>10</v>
      </c>
    </row>
    <row r="160" spans="1:4" x14ac:dyDescent="0.2">
      <c r="A160" s="7" t="s">
        <v>254</v>
      </c>
      <c r="B160" s="10">
        <v>46327</v>
      </c>
      <c r="C160">
        <f t="shared" si="4"/>
        <v>2026</v>
      </c>
      <c r="D160">
        <f t="shared" si="5"/>
        <v>11</v>
      </c>
    </row>
    <row r="161" spans="1:4" x14ac:dyDescent="0.2">
      <c r="A161" s="7" t="s">
        <v>255</v>
      </c>
      <c r="B161" s="10">
        <v>46357</v>
      </c>
      <c r="C161">
        <f t="shared" si="4"/>
        <v>2026</v>
      </c>
      <c r="D161">
        <f t="shared" si="5"/>
        <v>12</v>
      </c>
    </row>
    <row r="162" spans="1:4" x14ac:dyDescent="0.2">
      <c r="A162" s="7" t="s">
        <v>256</v>
      </c>
      <c r="B162" s="10">
        <v>46388</v>
      </c>
      <c r="C162">
        <f t="shared" si="4"/>
        <v>2027</v>
      </c>
      <c r="D162">
        <f t="shared" si="5"/>
        <v>1</v>
      </c>
    </row>
    <row r="163" spans="1:4" x14ac:dyDescent="0.2">
      <c r="A163" s="7" t="s">
        <v>257</v>
      </c>
      <c r="B163" s="10">
        <v>46419</v>
      </c>
      <c r="C163">
        <f t="shared" si="4"/>
        <v>2027</v>
      </c>
      <c r="D163">
        <f t="shared" si="5"/>
        <v>2</v>
      </c>
    </row>
    <row r="164" spans="1:4" x14ac:dyDescent="0.2">
      <c r="A164" s="7" t="s">
        <v>258</v>
      </c>
      <c r="B164" s="10">
        <v>46447</v>
      </c>
      <c r="C164">
        <f t="shared" si="4"/>
        <v>2027</v>
      </c>
      <c r="D164">
        <f t="shared" si="5"/>
        <v>3</v>
      </c>
    </row>
    <row r="165" spans="1:4" x14ac:dyDescent="0.2">
      <c r="A165" s="7" t="s">
        <v>259</v>
      </c>
      <c r="B165" s="10">
        <v>46478</v>
      </c>
      <c r="C165">
        <f t="shared" si="4"/>
        <v>2027</v>
      </c>
      <c r="D165">
        <f t="shared" si="5"/>
        <v>4</v>
      </c>
    </row>
    <row r="166" spans="1:4" x14ac:dyDescent="0.2">
      <c r="A166" s="7" t="s">
        <v>260</v>
      </c>
      <c r="B166" s="10">
        <v>46508</v>
      </c>
      <c r="C166">
        <f t="shared" si="4"/>
        <v>2027</v>
      </c>
      <c r="D166">
        <f t="shared" si="5"/>
        <v>5</v>
      </c>
    </row>
    <row r="167" spans="1:4" x14ac:dyDescent="0.2">
      <c r="A167" s="7" t="s">
        <v>261</v>
      </c>
      <c r="B167" s="10">
        <v>46539</v>
      </c>
      <c r="C167">
        <f t="shared" si="4"/>
        <v>2027</v>
      </c>
      <c r="D167">
        <f t="shared" si="5"/>
        <v>6</v>
      </c>
    </row>
    <row r="168" spans="1:4" x14ac:dyDescent="0.2">
      <c r="A168" s="7" t="s">
        <v>262</v>
      </c>
      <c r="B168" s="10">
        <v>46569</v>
      </c>
      <c r="C168">
        <f t="shared" si="4"/>
        <v>2027</v>
      </c>
      <c r="D168">
        <f t="shared" si="5"/>
        <v>7</v>
      </c>
    </row>
    <row r="169" spans="1:4" x14ac:dyDescent="0.2">
      <c r="A169" s="7" t="s">
        <v>263</v>
      </c>
      <c r="B169" s="10">
        <v>46600</v>
      </c>
      <c r="C169">
        <f t="shared" si="4"/>
        <v>2027</v>
      </c>
      <c r="D169">
        <f t="shared" si="5"/>
        <v>8</v>
      </c>
    </row>
    <row r="170" spans="1:4" x14ac:dyDescent="0.2">
      <c r="A170" s="7" t="s">
        <v>264</v>
      </c>
      <c r="B170" s="10">
        <v>46631</v>
      </c>
      <c r="C170">
        <f t="shared" si="4"/>
        <v>2027</v>
      </c>
      <c r="D170">
        <f t="shared" si="5"/>
        <v>9</v>
      </c>
    </row>
    <row r="171" spans="1:4" x14ac:dyDescent="0.2">
      <c r="A171" s="7" t="s">
        <v>265</v>
      </c>
      <c r="B171" s="10">
        <v>46661</v>
      </c>
      <c r="C171">
        <f t="shared" si="4"/>
        <v>2027</v>
      </c>
      <c r="D171">
        <f t="shared" si="5"/>
        <v>10</v>
      </c>
    </row>
    <row r="172" spans="1:4" x14ac:dyDescent="0.2">
      <c r="A172" s="7" t="s">
        <v>266</v>
      </c>
      <c r="B172" s="10">
        <v>46692</v>
      </c>
      <c r="C172">
        <f t="shared" si="4"/>
        <v>2027</v>
      </c>
      <c r="D172">
        <f t="shared" si="5"/>
        <v>11</v>
      </c>
    </row>
    <row r="173" spans="1:4" x14ac:dyDescent="0.2">
      <c r="A173" s="7" t="s">
        <v>267</v>
      </c>
      <c r="B173" s="10">
        <v>46722</v>
      </c>
      <c r="C173">
        <f t="shared" si="4"/>
        <v>2027</v>
      </c>
      <c r="D173">
        <f t="shared" si="5"/>
        <v>12</v>
      </c>
    </row>
    <row r="174" spans="1:4" x14ac:dyDescent="0.2">
      <c r="A174" s="7" t="s">
        <v>268</v>
      </c>
      <c r="B174" s="10">
        <v>46753</v>
      </c>
      <c r="C174">
        <f t="shared" si="4"/>
        <v>2028</v>
      </c>
      <c r="D174">
        <f t="shared" si="5"/>
        <v>1</v>
      </c>
    </row>
    <row r="175" spans="1:4" x14ac:dyDescent="0.2">
      <c r="A175" s="7" t="s">
        <v>269</v>
      </c>
      <c r="B175" s="10">
        <v>46784</v>
      </c>
      <c r="C175">
        <f t="shared" si="4"/>
        <v>2028</v>
      </c>
      <c r="D175">
        <f t="shared" si="5"/>
        <v>2</v>
      </c>
    </row>
    <row r="176" spans="1:4" x14ac:dyDescent="0.2">
      <c r="A176" s="7" t="s">
        <v>270</v>
      </c>
      <c r="B176" s="10">
        <v>46813</v>
      </c>
      <c r="C176">
        <f t="shared" si="4"/>
        <v>2028</v>
      </c>
      <c r="D176">
        <f t="shared" si="5"/>
        <v>3</v>
      </c>
    </row>
    <row r="177" spans="1:4" x14ac:dyDescent="0.2">
      <c r="A177" s="7" t="s">
        <v>271</v>
      </c>
      <c r="B177" s="10">
        <v>46844</v>
      </c>
      <c r="C177">
        <f t="shared" si="4"/>
        <v>2028</v>
      </c>
      <c r="D177">
        <f t="shared" si="5"/>
        <v>4</v>
      </c>
    </row>
    <row r="178" spans="1:4" x14ac:dyDescent="0.2">
      <c r="A178" s="7" t="s">
        <v>272</v>
      </c>
      <c r="B178" s="10">
        <v>46874</v>
      </c>
      <c r="C178">
        <f t="shared" si="4"/>
        <v>2028</v>
      </c>
      <c r="D178">
        <f t="shared" si="5"/>
        <v>5</v>
      </c>
    </row>
    <row r="179" spans="1:4" x14ac:dyDescent="0.2">
      <c r="A179" s="7" t="s">
        <v>273</v>
      </c>
      <c r="B179" s="10">
        <v>46905</v>
      </c>
      <c r="C179">
        <f t="shared" si="4"/>
        <v>2028</v>
      </c>
      <c r="D179">
        <f t="shared" si="5"/>
        <v>6</v>
      </c>
    </row>
    <row r="180" spans="1:4" x14ac:dyDescent="0.2">
      <c r="A180" s="7" t="s">
        <v>274</v>
      </c>
      <c r="B180" s="10">
        <v>46935</v>
      </c>
      <c r="C180">
        <f t="shared" si="4"/>
        <v>2028</v>
      </c>
      <c r="D180">
        <f t="shared" si="5"/>
        <v>7</v>
      </c>
    </row>
    <row r="181" spans="1:4" x14ac:dyDescent="0.2">
      <c r="A181" s="7" t="s">
        <v>275</v>
      </c>
      <c r="B181" s="10">
        <v>46966</v>
      </c>
      <c r="C181">
        <f t="shared" si="4"/>
        <v>2028</v>
      </c>
      <c r="D181">
        <f t="shared" si="5"/>
        <v>8</v>
      </c>
    </row>
    <row r="182" spans="1:4" x14ac:dyDescent="0.2">
      <c r="A182" s="7" t="s">
        <v>276</v>
      </c>
      <c r="B182" s="10">
        <v>46997</v>
      </c>
      <c r="C182">
        <f t="shared" si="4"/>
        <v>2028</v>
      </c>
      <c r="D182">
        <f t="shared" si="5"/>
        <v>9</v>
      </c>
    </row>
    <row r="183" spans="1:4" x14ac:dyDescent="0.2">
      <c r="A183" s="7" t="s">
        <v>277</v>
      </c>
      <c r="B183" s="10">
        <v>47027</v>
      </c>
      <c r="C183">
        <f t="shared" si="4"/>
        <v>2028</v>
      </c>
      <c r="D183">
        <f t="shared" si="5"/>
        <v>10</v>
      </c>
    </row>
    <row r="184" spans="1:4" x14ac:dyDescent="0.2">
      <c r="A184" s="7" t="s">
        <v>278</v>
      </c>
      <c r="B184" s="10">
        <v>47058</v>
      </c>
      <c r="C184">
        <f t="shared" si="4"/>
        <v>2028</v>
      </c>
      <c r="D184">
        <f t="shared" si="5"/>
        <v>11</v>
      </c>
    </row>
    <row r="185" spans="1:4" x14ac:dyDescent="0.2">
      <c r="A185" s="7" t="s">
        <v>279</v>
      </c>
      <c r="B185" s="10">
        <v>47088</v>
      </c>
      <c r="C185">
        <f t="shared" si="4"/>
        <v>2028</v>
      </c>
      <c r="D185">
        <f t="shared" si="5"/>
        <v>12</v>
      </c>
    </row>
  </sheetData>
  <phoneticPr fontId="4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B214A-8729-7640-BC32-D177BB2B55C2}">
  <dimension ref="A1:L168"/>
  <sheetViews>
    <sheetView zoomScaleNormal="100" workbookViewId="0">
      <selection activeCell="E10" sqref="E10"/>
    </sheetView>
  </sheetViews>
  <sheetFormatPr baseColWidth="10" defaultRowHeight="57" customHeight="1" x14ac:dyDescent="0.2"/>
  <cols>
    <col min="1" max="1" width="10.83203125" style="3"/>
    <col min="2" max="2" width="12" style="3" bestFit="1" customWidth="1"/>
    <col min="3" max="3" width="33.1640625" style="3" bestFit="1" customWidth="1"/>
    <col min="4" max="4" width="14.83203125" style="12" customWidth="1"/>
    <col min="5" max="5" width="14.83203125" style="3" customWidth="1"/>
    <col min="6" max="6" width="20.6640625" style="3" bestFit="1" customWidth="1"/>
    <col min="7" max="7" width="39.5" style="3" customWidth="1"/>
    <col min="8" max="8" width="13.5" style="3" bestFit="1" customWidth="1"/>
    <col min="9" max="10" width="13.5" style="3" customWidth="1"/>
    <col min="11" max="11" width="63.33203125" style="3" customWidth="1"/>
    <col min="12" max="12" width="78.1640625" style="3" customWidth="1"/>
    <col min="13" max="16384" width="10.83203125" style="3"/>
  </cols>
  <sheetData>
    <row r="1" spans="1:12" ht="16" x14ac:dyDescent="0.2">
      <c r="A1" s="2" t="s">
        <v>54</v>
      </c>
      <c r="B1" s="2" t="s">
        <v>92</v>
      </c>
      <c r="C1" s="2" t="s">
        <v>89</v>
      </c>
      <c r="D1" s="11" t="s">
        <v>94</v>
      </c>
      <c r="E1" s="2" t="s">
        <v>95</v>
      </c>
      <c r="F1" s="2" t="s">
        <v>0</v>
      </c>
      <c r="G1" s="2" t="s">
        <v>6</v>
      </c>
      <c r="H1" s="2" t="s">
        <v>1</v>
      </c>
      <c r="I1" s="2" t="s">
        <v>281</v>
      </c>
      <c r="J1" s="2" t="s">
        <v>282</v>
      </c>
      <c r="K1" s="2" t="s">
        <v>2</v>
      </c>
      <c r="L1" s="2" t="s">
        <v>20</v>
      </c>
    </row>
    <row r="2" spans="1:12" ht="17" x14ac:dyDescent="0.2">
      <c r="A2" s="3" t="s">
        <v>286</v>
      </c>
      <c r="B2" s="3">
        <v>1</v>
      </c>
      <c r="C2" t="s">
        <v>79</v>
      </c>
      <c r="D2" s="10">
        <v>41518</v>
      </c>
      <c r="E2" s="10">
        <v>42614</v>
      </c>
      <c r="F2" t="s">
        <v>86</v>
      </c>
      <c r="G2" s="9" t="s">
        <v>88</v>
      </c>
      <c r="H2" s="3" t="s">
        <v>4</v>
      </c>
      <c r="I2" s="13" t="str">
        <f>"45.464203"</f>
        <v>45.464203</v>
      </c>
      <c r="J2" s="3" t="str">
        <f>"9.189982"</f>
        <v>9.189982</v>
      </c>
      <c r="K2" s="4" t="s">
        <v>80</v>
      </c>
      <c r="L2" t="s">
        <v>78</v>
      </c>
    </row>
    <row r="3" spans="1:12" ht="17" x14ac:dyDescent="0.2">
      <c r="A3" s="3" t="s">
        <v>286</v>
      </c>
      <c r="B3" s="3">
        <v>2</v>
      </c>
      <c r="C3" t="s">
        <v>82</v>
      </c>
      <c r="D3" s="10">
        <v>42979</v>
      </c>
      <c r="E3" s="10">
        <v>43282</v>
      </c>
      <c r="F3" t="s">
        <v>283</v>
      </c>
      <c r="G3" s="9" t="s">
        <v>88</v>
      </c>
      <c r="H3" s="9" t="s">
        <v>85</v>
      </c>
      <c r="I3" s="13" t="str">
        <f>"42.596796"</f>
        <v>42.596796</v>
      </c>
      <c r="J3" s="9" t="str">
        <f>"-5.572945"</f>
        <v>-5.572945</v>
      </c>
      <c r="K3" s="4" t="s">
        <v>87</v>
      </c>
    </row>
    <row r="4" spans="1:12" ht="17" x14ac:dyDescent="0.2">
      <c r="A4" s="3" t="s">
        <v>286</v>
      </c>
      <c r="B4" s="3">
        <v>3</v>
      </c>
      <c r="C4" t="s">
        <v>79</v>
      </c>
      <c r="D4" s="10">
        <v>42614</v>
      </c>
      <c r="E4" s="10">
        <v>43525</v>
      </c>
      <c r="F4" t="s">
        <v>90</v>
      </c>
      <c r="G4" s="9" t="s">
        <v>88</v>
      </c>
      <c r="H4" s="3" t="s">
        <v>4</v>
      </c>
      <c r="I4" s="13" t="str">
        <f>"45.464203"</f>
        <v>45.464203</v>
      </c>
      <c r="J4" s="3" t="str">
        <f>"9.189982"</f>
        <v>9.189982</v>
      </c>
      <c r="K4" s="4" t="s">
        <v>81</v>
      </c>
      <c r="L4" t="s">
        <v>77</v>
      </c>
    </row>
    <row r="5" spans="1:12" ht="51" x14ac:dyDescent="0.2">
      <c r="A5" s="3" t="s">
        <v>84</v>
      </c>
      <c r="B5" s="3">
        <v>4</v>
      </c>
      <c r="C5" s="3" t="s">
        <v>3</v>
      </c>
      <c r="D5" s="10">
        <v>43405</v>
      </c>
      <c r="E5" s="10">
        <v>44197</v>
      </c>
      <c r="F5" s="3" t="s">
        <v>7</v>
      </c>
      <c r="G5" s="3" t="s">
        <v>8</v>
      </c>
      <c r="H5" s="3" t="s">
        <v>4</v>
      </c>
      <c r="I5" s="13" t="str">
        <f>"45.464203"</f>
        <v>45.464203</v>
      </c>
      <c r="J5" s="3" t="str">
        <f>"9.189982"</f>
        <v>9.189982</v>
      </c>
      <c r="K5" s="4" t="s">
        <v>5</v>
      </c>
      <c r="L5" s="4" t="s">
        <v>24</v>
      </c>
    </row>
    <row r="6" spans="1:12" ht="85" x14ac:dyDescent="0.2">
      <c r="A6" s="3" t="s">
        <v>84</v>
      </c>
      <c r="B6" s="3">
        <v>5</v>
      </c>
      <c r="C6" s="3" t="s">
        <v>25</v>
      </c>
      <c r="D6" s="10">
        <v>44197</v>
      </c>
      <c r="E6" s="10">
        <v>44531</v>
      </c>
      <c r="F6" s="3" t="s">
        <v>7</v>
      </c>
      <c r="G6" s="3" t="s">
        <v>9</v>
      </c>
      <c r="H6" s="3" t="s">
        <v>4</v>
      </c>
      <c r="I6" s="13" t="str">
        <f>"45.464203"</f>
        <v>45.464203</v>
      </c>
      <c r="J6" s="3" t="str">
        <f>"9.189982"</f>
        <v>9.189982</v>
      </c>
      <c r="K6" s="4" t="s">
        <v>16</v>
      </c>
      <c r="L6" s="4" t="s">
        <v>23</v>
      </c>
    </row>
    <row r="7" spans="1:12" ht="85" x14ac:dyDescent="0.2">
      <c r="A7" s="3" t="s">
        <v>84</v>
      </c>
      <c r="B7" s="3">
        <v>6</v>
      </c>
      <c r="C7" s="3" t="s">
        <v>10</v>
      </c>
      <c r="D7" s="10">
        <v>44531</v>
      </c>
      <c r="E7" s="10">
        <v>44835</v>
      </c>
      <c r="F7" s="3" t="s">
        <v>12</v>
      </c>
      <c r="G7" s="3" t="s">
        <v>13</v>
      </c>
      <c r="H7" s="3" t="s">
        <v>17</v>
      </c>
      <c r="I7" s="3" t="str">
        <f>"39.469706"</f>
        <v>39.469706</v>
      </c>
      <c r="J7" s="3" t="str">
        <f>"-0.376335"</f>
        <v>-0.376335</v>
      </c>
      <c r="K7" s="4" t="s">
        <v>18</v>
      </c>
      <c r="L7" s="4" t="s">
        <v>21</v>
      </c>
    </row>
    <row r="8" spans="1:12" ht="85" x14ac:dyDescent="0.2">
      <c r="A8" s="3" t="s">
        <v>84</v>
      </c>
      <c r="B8" s="3">
        <v>7</v>
      </c>
      <c r="C8" s="3" t="s">
        <v>11</v>
      </c>
      <c r="D8" s="10">
        <v>44927</v>
      </c>
      <c r="E8" s="10">
        <v>45170</v>
      </c>
      <c r="F8" s="3" t="s">
        <v>14</v>
      </c>
      <c r="G8" s="3" t="s">
        <v>15</v>
      </c>
      <c r="H8" s="3" t="s">
        <v>287</v>
      </c>
      <c r="I8" s="3" t="str">
        <f>"48.8575"</f>
        <v>48.8575</v>
      </c>
      <c r="J8" s="3" t="str">
        <f>"2.3514"</f>
        <v>2.3514</v>
      </c>
      <c r="K8" s="4" t="s">
        <v>19</v>
      </c>
      <c r="L8" s="4" t="s">
        <v>22</v>
      </c>
    </row>
    <row r="9" spans="1:12" ht="85" x14ac:dyDescent="0.2">
      <c r="A9" s="3" t="s">
        <v>84</v>
      </c>
      <c r="B9" s="3">
        <v>8</v>
      </c>
      <c r="C9" s="3" t="s">
        <v>10</v>
      </c>
      <c r="D9" s="10">
        <v>45170</v>
      </c>
      <c r="E9" s="10">
        <v>46023</v>
      </c>
      <c r="F9" s="3" t="s">
        <v>12</v>
      </c>
      <c r="G9" s="3" t="s">
        <v>13</v>
      </c>
      <c r="H9" s="3" t="s">
        <v>17</v>
      </c>
      <c r="I9" s="3" t="str">
        <f>"39.469706"</f>
        <v>39.469706</v>
      </c>
      <c r="J9" s="3" t="str">
        <f>"-0.376335"</f>
        <v>-0.376335</v>
      </c>
      <c r="K9" s="4" t="s">
        <v>18</v>
      </c>
      <c r="L9" s="4" t="s">
        <v>21</v>
      </c>
    </row>
    <row r="10" spans="1:12" ht="16" x14ac:dyDescent="0.2"/>
    <row r="11" spans="1:12" ht="16" x14ac:dyDescent="0.2"/>
    <row r="12" spans="1:12" ht="16" x14ac:dyDescent="0.2"/>
    <row r="13" spans="1:12" ht="16" x14ac:dyDescent="0.2"/>
    <row r="14" spans="1:12" ht="16" x14ac:dyDescent="0.2"/>
    <row r="15" spans="1:12" ht="16" x14ac:dyDescent="0.2"/>
    <row r="16" spans="1:12" ht="16" x14ac:dyDescent="0.2"/>
    <row r="17" ht="16" x14ac:dyDescent="0.2"/>
    <row r="18" ht="16" x14ac:dyDescent="0.2"/>
    <row r="19" ht="16" x14ac:dyDescent="0.2"/>
    <row r="20" ht="16" x14ac:dyDescent="0.2"/>
    <row r="21" ht="16" x14ac:dyDescent="0.2"/>
    <row r="22" ht="16" x14ac:dyDescent="0.2"/>
    <row r="23" ht="16" x14ac:dyDescent="0.2"/>
    <row r="24" ht="16" x14ac:dyDescent="0.2"/>
    <row r="25" ht="16" x14ac:dyDescent="0.2"/>
    <row r="26" ht="16" x14ac:dyDescent="0.2"/>
    <row r="27" ht="16" x14ac:dyDescent="0.2"/>
    <row r="28" ht="16" x14ac:dyDescent="0.2"/>
    <row r="29" ht="16" x14ac:dyDescent="0.2"/>
    <row r="30" ht="16" x14ac:dyDescent="0.2"/>
    <row r="31" ht="16" x14ac:dyDescent="0.2"/>
    <row r="32" ht="16" x14ac:dyDescent="0.2"/>
    <row r="33" ht="16" x14ac:dyDescent="0.2"/>
    <row r="34" ht="16" x14ac:dyDescent="0.2"/>
    <row r="35" ht="16" x14ac:dyDescent="0.2"/>
    <row r="36" ht="16" x14ac:dyDescent="0.2"/>
    <row r="37" ht="16" x14ac:dyDescent="0.2"/>
    <row r="38" ht="16" x14ac:dyDescent="0.2"/>
    <row r="39" ht="16" x14ac:dyDescent="0.2"/>
    <row r="40" ht="16" x14ac:dyDescent="0.2"/>
    <row r="41" ht="16" x14ac:dyDescent="0.2"/>
    <row r="42" ht="16" x14ac:dyDescent="0.2"/>
    <row r="43" ht="16" x14ac:dyDescent="0.2"/>
    <row r="44" ht="16" x14ac:dyDescent="0.2"/>
    <row r="45" ht="16" x14ac:dyDescent="0.2"/>
    <row r="46" ht="16" x14ac:dyDescent="0.2"/>
    <row r="47" ht="16" x14ac:dyDescent="0.2"/>
    <row r="48" ht="16" x14ac:dyDescent="0.2"/>
    <row r="49" ht="16" x14ac:dyDescent="0.2"/>
    <row r="50" ht="16" x14ac:dyDescent="0.2"/>
    <row r="51" ht="16" x14ac:dyDescent="0.2"/>
    <row r="52" ht="16" x14ac:dyDescent="0.2"/>
    <row r="53" ht="16" x14ac:dyDescent="0.2"/>
    <row r="54" ht="16" x14ac:dyDescent="0.2"/>
    <row r="55" ht="16" x14ac:dyDescent="0.2"/>
    <row r="56" ht="16" x14ac:dyDescent="0.2"/>
    <row r="57" ht="16" x14ac:dyDescent="0.2"/>
    <row r="58" ht="16" x14ac:dyDescent="0.2"/>
    <row r="59" ht="16" x14ac:dyDescent="0.2"/>
    <row r="60" ht="16" x14ac:dyDescent="0.2"/>
    <row r="61" ht="16" x14ac:dyDescent="0.2"/>
    <row r="62" ht="16" x14ac:dyDescent="0.2"/>
    <row r="63" ht="16" x14ac:dyDescent="0.2"/>
    <row r="64" ht="16" x14ac:dyDescent="0.2"/>
    <row r="65" ht="16" x14ac:dyDescent="0.2"/>
    <row r="66" ht="16" x14ac:dyDescent="0.2"/>
    <row r="67" ht="16" x14ac:dyDescent="0.2"/>
    <row r="68" ht="16" x14ac:dyDescent="0.2"/>
    <row r="69" ht="16" x14ac:dyDescent="0.2"/>
    <row r="70" ht="16" x14ac:dyDescent="0.2"/>
    <row r="71" ht="16" x14ac:dyDescent="0.2"/>
    <row r="72" ht="16" x14ac:dyDescent="0.2"/>
    <row r="73" ht="16" x14ac:dyDescent="0.2"/>
    <row r="74" ht="16" x14ac:dyDescent="0.2"/>
    <row r="75" ht="16" x14ac:dyDescent="0.2"/>
    <row r="76" ht="16" x14ac:dyDescent="0.2"/>
    <row r="77" ht="16" x14ac:dyDescent="0.2"/>
    <row r="78" ht="16" x14ac:dyDescent="0.2"/>
    <row r="79" ht="16" x14ac:dyDescent="0.2"/>
    <row r="80" ht="16" x14ac:dyDescent="0.2"/>
    <row r="81" ht="16" x14ac:dyDescent="0.2"/>
    <row r="82" ht="16" x14ac:dyDescent="0.2"/>
    <row r="83" ht="16" x14ac:dyDescent="0.2"/>
    <row r="84" ht="16" x14ac:dyDescent="0.2"/>
    <row r="85" ht="16" x14ac:dyDescent="0.2"/>
    <row r="86" ht="16" x14ac:dyDescent="0.2"/>
    <row r="87" ht="16" x14ac:dyDescent="0.2"/>
    <row r="88" ht="16" x14ac:dyDescent="0.2"/>
    <row r="89" ht="16" x14ac:dyDescent="0.2"/>
    <row r="90" ht="16" x14ac:dyDescent="0.2"/>
    <row r="91" ht="16" x14ac:dyDescent="0.2"/>
    <row r="92" ht="16" x14ac:dyDescent="0.2"/>
    <row r="93" ht="16" x14ac:dyDescent="0.2"/>
    <row r="94" ht="16" x14ac:dyDescent="0.2"/>
    <row r="95" ht="16" x14ac:dyDescent="0.2"/>
    <row r="96" ht="16" x14ac:dyDescent="0.2"/>
    <row r="97" ht="16" x14ac:dyDescent="0.2"/>
    <row r="98" ht="16" x14ac:dyDescent="0.2"/>
    <row r="99" ht="16" x14ac:dyDescent="0.2"/>
    <row r="100" ht="16" x14ac:dyDescent="0.2"/>
    <row r="101" ht="16" x14ac:dyDescent="0.2"/>
    <row r="102" ht="16" x14ac:dyDescent="0.2"/>
    <row r="103" ht="16" x14ac:dyDescent="0.2"/>
    <row r="104" ht="16" x14ac:dyDescent="0.2"/>
    <row r="105" ht="16" x14ac:dyDescent="0.2"/>
    <row r="106" ht="16" x14ac:dyDescent="0.2"/>
    <row r="107" ht="16" x14ac:dyDescent="0.2"/>
    <row r="108" ht="16" x14ac:dyDescent="0.2"/>
    <row r="109" ht="16" x14ac:dyDescent="0.2"/>
    <row r="110" ht="16" x14ac:dyDescent="0.2"/>
    <row r="111" ht="16" x14ac:dyDescent="0.2"/>
    <row r="112" ht="16" x14ac:dyDescent="0.2"/>
    <row r="113" ht="16" x14ac:dyDescent="0.2"/>
    <row r="114" ht="16" x14ac:dyDescent="0.2"/>
    <row r="115" ht="16" x14ac:dyDescent="0.2"/>
    <row r="116" ht="16" x14ac:dyDescent="0.2"/>
    <row r="117" ht="16" x14ac:dyDescent="0.2"/>
    <row r="118" ht="16" x14ac:dyDescent="0.2"/>
    <row r="119" ht="16" x14ac:dyDescent="0.2"/>
    <row r="120" ht="16" x14ac:dyDescent="0.2"/>
    <row r="121" ht="16" x14ac:dyDescent="0.2"/>
    <row r="122" ht="16" x14ac:dyDescent="0.2"/>
    <row r="123" ht="16" x14ac:dyDescent="0.2"/>
    <row r="124" ht="16" x14ac:dyDescent="0.2"/>
    <row r="125" ht="16" x14ac:dyDescent="0.2"/>
    <row r="126" ht="16" x14ac:dyDescent="0.2"/>
    <row r="127" ht="16" x14ac:dyDescent="0.2"/>
    <row r="128" ht="16" x14ac:dyDescent="0.2"/>
    <row r="129" ht="16" x14ac:dyDescent="0.2"/>
    <row r="130" ht="16" x14ac:dyDescent="0.2"/>
    <row r="131" ht="16" x14ac:dyDescent="0.2"/>
    <row r="132" ht="16" x14ac:dyDescent="0.2"/>
    <row r="133" ht="16" x14ac:dyDescent="0.2"/>
    <row r="134" ht="16" x14ac:dyDescent="0.2"/>
    <row r="135" ht="16" x14ac:dyDescent="0.2"/>
    <row r="136" ht="16" x14ac:dyDescent="0.2"/>
    <row r="137" ht="16" x14ac:dyDescent="0.2"/>
    <row r="138" ht="16" x14ac:dyDescent="0.2"/>
    <row r="139" ht="16" x14ac:dyDescent="0.2"/>
    <row r="140" ht="16" x14ac:dyDescent="0.2"/>
    <row r="141" ht="16" x14ac:dyDescent="0.2"/>
    <row r="142" ht="16" x14ac:dyDescent="0.2"/>
    <row r="143" ht="16" x14ac:dyDescent="0.2"/>
    <row r="144" ht="16" x14ac:dyDescent="0.2"/>
    <row r="145" ht="16" x14ac:dyDescent="0.2"/>
    <row r="146" ht="16" x14ac:dyDescent="0.2"/>
    <row r="147" ht="16" x14ac:dyDescent="0.2"/>
    <row r="148" ht="16" x14ac:dyDescent="0.2"/>
    <row r="149" ht="16" x14ac:dyDescent="0.2"/>
    <row r="150" ht="16" x14ac:dyDescent="0.2"/>
    <row r="151" ht="16" x14ac:dyDescent="0.2"/>
    <row r="152" ht="16" x14ac:dyDescent="0.2"/>
    <row r="153" ht="16" x14ac:dyDescent="0.2"/>
    <row r="154" ht="16" x14ac:dyDescent="0.2"/>
    <row r="155" ht="16" x14ac:dyDescent="0.2"/>
    <row r="156" ht="16" x14ac:dyDescent="0.2"/>
    <row r="157" ht="16" x14ac:dyDescent="0.2"/>
    <row r="158" ht="16" x14ac:dyDescent="0.2"/>
    <row r="159" ht="16" x14ac:dyDescent="0.2"/>
    <row r="160" ht="16" x14ac:dyDescent="0.2"/>
    <row r="161" ht="16" x14ac:dyDescent="0.2"/>
    <row r="162" ht="16" x14ac:dyDescent="0.2"/>
    <row r="163" ht="16" x14ac:dyDescent="0.2"/>
    <row r="164" ht="16" x14ac:dyDescent="0.2"/>
    <row r="165" ht="16" x14ac:dyDescent="0.2"/>
    <row r="166" ht="16" x14ac:dyDescent="0.2"/>
    <row r="167" ht="16" x14ac:dyDescent="0.2"/>
    <row r="168" ht="16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58DC3-3ED4-8E47-BF1A-FEFD3D4117EB}">
  <dimension ref="A1:L59"/>
  <sheetViews>
    <sheetView tabSelected="1" workbookViewId="0">
      <selection activeCell="E32" sqref="E32"/>
    </sheetView>
  </sheetViews>
  <sheetFormatPr baseColWidth="10" defaultRowHeight="16" x14ac:dyDescent="0.2"/>
  <cols>
    <col min="1" max="1" width="12" bestFit="1" customWidth="1"/>
    <col min="2" max="2" width="16.6640625" bestFit="1" customWidth="1"/>
    <col min="3" max="3" width="19.33203125" bestFit="1" customWidth="1"/>
    <col min="4" max="4" width="11.6640625" bestFit="1" customWidth="1"/>
    <col min="12" max="12" width="33.1640625" bestFit="1" customWidth="1"/>
  </cols>
  <sheetData>
    <row r="1" spans="1:11" x14ac:dyDescent="0.2">
      <c r="A1" s="1" t="s">
        <v>92</v>
      </c>
      <c r="B1" s="1" t="s">
        <v>26</v>
      </c>
      <c r="C1" s="1" t="s">
        <v>27</v>
      </c>
      <c r="D1" s="1" t="s">
        <v>28</v>
      </c>
      <c r="E1" s="1" t="s">
        <v>93</v>
      </c>
    </row>
    <row r="2" spans="1:11" x14ac:dyDescent="0.2">
      <c r="A2" s="14">
        <v>1</v>
      </c>
      <c r="B2" s="14" t="s">
        <v>285</v>
      </c>
      <c r="C2" s="14" t="s">
        <v>298</v>
      </c>
      <c r="D2" s="14" t="s">
        <v>31</v>
      </c>
      <c r="E2" s="14">
        <v>3</v>
      </c>
    </row>
    <row r="3" spans="1:11" x14ac:dyDescent="0.2">
      <c r="A3" s="14">
        <v>3</v>
      </c>
      <c r="B3" s="14" t="s">
        <v>285</v>
      </c>
      <c r="C3" s="14" t="s">
        <v>298</v>
      </c>
      <c r="D3" s="14" t="s">
        <v>31</v>
      </c>
      <c r="E3" s="14">
        <v>2</v>
      </c>
    </row>
    <row r="4" spans="1:11" x14ac:dyDescent="0.2">
      <c r="A4" s="14">
        <v>3</v>
      </c>
      <c r="B4" s="14" t="s">
        <v>307</v>
      </c>
      <c r="C4" s="14" t="s">
        <v>298</v>
      </c>
      <c r="D4" s="14" t="s">
        <v>31</v>
      </c>
      <c r="E4" s="14">
        <v>1</v>
      </c>
    </row>
    <row r="5" spans="1:11" x14ac:dyDescent="0.2">
      <c r="A5" s="14">
        <v>2</v>
      </c>
      <c r="B5" s="14" t="s">
        <v>297</v>
      </c>
      <c r="C5" s="14" t="s">
        <v>30</v>
      </c>
      <c r="D5" s="14" t="s">
        <v>36</v>
      </c>
      <c r="E5" s="14">
        <v>1</v>
      </c>
    </row>
    <row r="6" spans="1:11" x14ac:dyDescent="0.2">
      <c r="A6" s="14">
        <v>3</v>
      </c>
      <c r="B6" s="14" t="s">
        <v>32</v>
      </c>
      <c r="C6" s="14" t="s">
        <v>30</v>
      </c>
      <c r="D6" s="14" t="s">
        <v>31</v>
      </c>
      <c r="E6" s="14">
        <v>2</v>
      </c>
    </row>
    <row r="7" spans="1:11" x14ac:dyDescent="0.2">
      <c r="A7" s="3">
        <v>3</v>
      </c>
      <c r="B7" t="s">
        <v>38</v>
      </c>
      <c r="C7" t="s">
        <v>30</v>
      </c>
      <c r="D7" t="s">
        <v>34</v>
      </c>
      <c r="E7">
        <v>1</v>
      </c>
    </row>
    <row r="8" spans="1:11" x14ac:dyDescent="0.2">
      <c r="A8" s="3">
        <v>4</v>
      </c>
      <c r="B8" t="s">
        <v>29</v>
      </c>
      <c r="C8" t="s">
        <v>30</v>
      </c>
      <c r="D8" t="s">
        <v>31</v>
      </c>
      <c r="E8">
        <v>1</v>
      </c>
    </row>
    <row r="9" spans="1:11" x14ac:dyDescent="0.2">
      <c r="A9" s="3">
        <v>5</v>
      </c>
      <c r="B9" t="s">
        <v>29</v>
      </c>
      <c r="C9" t="s">
        <v>30</v>
      </c>
      <c r="D9" t="s">
        <v>31</v>
      </c>
      <c r="E9">
        <v>1</v>
      </c>
    </row>
    <row r="10" spans="1:11" x14ac:dyDescent="0.2">
      <c r="A10" s="3">
        <v>6</v>
      </c>
      <c r="B10" t="s">
        <v>29</v>
      </c>
      <c r="C10" t="s">
        <v>30</v>
      </c>
      <c r="D10" t="s">
        <v>31</v>
      </c>
      <c r="E10">
        <v>1</v>
      </c>
    </row>
    <row r="11" spans="1:11" x14ac:dyDescent="0.2">
      <c r="A11" s="3">
        <v>8</v>
      </c>
      <c r="B11" t="s">
        <v>29</v>
      </c>
      <c r="C11" t="s">
        <v>30</v>
      </c>
      <c r="D11" t="s">
        <v>31</v>
      </c>
      <c r="E11">
        <v>2</v>
      </c>
    </row>
    <row r="12" spans="1:11" x14ac:dyDescent="0.2">
      <c r="A12" s="3">
        <v>7</v>
      </c>
      <c r="B12" t="s">
        <v>29</v>
      </c>
      <c r="C12" t="s">
        <v>30</v>
      </c>
      <c r="D12" t="s">
        <v>31</v>
      </c>
      <c r="E12">
        <v>1</v>
      </c>
    </row>
    <row r="13" spans="1:11" x14ac:dyDescent="0.2">
      <c r="A13" s="3">
        <v>4</v>
      </c>
      <c r="B13" t="s">
        <v>32</v>
      </c>
      <c r="C13" t="s">
        <v>30</v>
      </c>
      <c r="D13" t="s">
        <v>31</v>
      </c>
      <c r="E13">
        <v>2</v>
      </c>
      <c r="K13" s="3"/>
    </row>
    <row r="14" spans="1:11" x14ac:dyDescent="0.2">
      <c r="A14" s="3">
        <v>5</v>
      </c>
      <c r="B14" t="s">
        <v>32</v>
      </c>
      <c r="C14" t="s">
        <v>30</v>
      </c>
      <c r="D14" t="s">
        <v>31</v>
      </c>
      <c r="E14">
        <v>1</v>
      </c>
      <c r="K14" s="3"/>
    </row>
    <row r="15" spans="1:11" x14ac:dyDescent="0.2">
      <c r="A15" s="3">
        <v>6</v>
      </c>
      <c r="B15" t="s">
        <v>32</v>
      </c>
      <c r="C15" t="s">
        <v>30</v>
      </c>
      <c r="D15" t="s">
        <v>31</v>
      </c>
      <c r="E15">
        <v>1</v>
      </c>
      <c r="K15" s="3"/>
    </row>
    <row r="16" spans="1:11" x14ac:dyDescent="0.2">
      <c r="A16" s="3">
        <v>8</v>
      </c>
      <c r="B16" t="s">
        <v>32</v>
      </c>
      <c r="C16" t="s">
        <v>30</v>
      </c>
      <c r="D16" t="s">
        <v>31</v>
      </c>
      <c r="E16">
        <v>2</v>
      </c>
      <c r="K16" s="3"/>
    </row>
    <row r="17" spans="1:12" x14ac:dyDescent="0.2">
      <c r="A17" s="3">
        <v>3</v>
      </c>
      <c r="B17" t="s">
        <v>32</v>
      </c>
      <c r="C17" t="s">
        <v>30</v>
      </c>
      <c r="D17" t="s">
        <v>31</v>
      </c>
      <c r="E17">
        <v>2</v>
      </c>
      <c r="K17" s="3"/>
    </row>
    <row r="18" spans="1:12" x14ac:dyDescent="0.2">
      <c r="A18" s="3">
        <v>7</v>
      </c>
      <c r="B18" t="s">
        <v>32</v>
      </c>
      <c r="C18" t="s">
        <v>30</v>
      </c>
      <c r="D18" t="s">
        <v>31</v>
      </c>
      <c r="E18">
        <v>1</v>
      </c>
      <c r="K18" s="3"/>
      <c r="L18" s="3"/>
    </row>
    <row r="19" spans="1:12" x14ac:dyDescent="0.2">
      <c r="A19" s="3">
        <v>4</v>
      </c>
      <c r="B19" t="s">
        <v>33</v>
      </c>
      <c r="C19" t="s">
        <v>30</v>
      </c>
      <c r="D19" t="s">
        <v>34</v>
      </c>
      <c r="E19">
        <v>1</v>
      </c>
      <c r="K19" s="3"/>
      <c r="L19" s="3"/>
    </row>
    <row r="20" spans="1:12" x14ac:dyDescent="0.2">
      <c r="A20" s="3">
        <v>6</v>
      </c>
      <c r="B20" t="s">
        <v>33</v>
      </c>
      <c r="C20" t="s">
        <v>30</v>
      </c>
      <c r="D20" t="s">
        <v>34</v>
      </c>
      <c r="E20">
        <v>1</v>
      </c>
      <c r="K20" s="3"/>
      <c r="L20" s="3"/>
    </row>
    <row r="21" spans="1:12" x14ac:dyDescent="0.2">
      <c r="A21" s="14">
        <v>4</v>
      </c>
      <c r="B21" s="14" t="s">
        <v>307</v>
      </c>
      <c r="C21" s="14" t="s">
        <v>298</v>
      </c>
      <c r="D21" s="14" t="s">
        <v>31</v>
      </c>
      <c r="E21" s="14">
        <v>1</v>
      </c>
    </row>
    <row r="22" spans="1:12" x14ac:dyDescent="0.2">
      <c r="A22" s="14">
        <v>6</v>
      </c>
      <c r="B22" s="14" t="s">
        <v>307</v>
      </c>
      <c r="C22" s="14" t="s">
        <v>298</v>
      </c>
      <c r="D22" s="14" t="s">
        <v>31</v>
      </c>
      <c r="E22" s="14">
        <v>1</v>
      </c>
    </row>
    <row r="23" spans="1:12" x14ac:dyDescent="0.2">
      <c r="A23" s="3">
        <v>8</v>
      </c>
      <c r="B23" t="s">
        <v>33</v>
      </c>
      <c r="C23" t="s">
        <v>30</v>
      </c>
      <c r="D23" t="s">
        <v>34</v>
      </c>
      <c r="E23">
        <v>2</v>
      </c>
      <c r="K23" s="3"/>
      <c r="L23" s="3"/>
    </row>
    <row r="24" spans="1:12" x14ac:dyDescent="0.2">
      <c r="A24" s="3">
        <v>4</v>
      </c>
      <c r="B24" t="s">
        <v>35</v>
      </c>
      <c r="C24" t="s">
        <v>30</v>
      </c>
      <c r="D24" t="s">
        <v>36</v>
      </c>
      <c r="E24">
        <v>1</v>
      </c>
      <c r="K24" s="3"/>
      <c r="L24" s="3"/>
    </row>
    <row r="25" spans="1:12" x14ac:dyDescent="0.2">
      <c r="A25" s="3">
        <v>3</v>
      </c>
      <c r="B25" t="s">
        <v>37</v>
      </c>
      <c r="C25" t="s">
        <v>30</v>
      </c>
      <c r="D25" t="s">
        <v>36</v>
      </c>
      <c r="E25">
        <v>1</v>
      </c>
      <c r="K25" s="3"/>
      <c r="L25" s="3"/>
    </row>
    <row r="26" spans="1:12" x14ac:dyDescent="0.2">
      <c r="A26" s="3">
        <v>4</v>
      </c>
      <c r="B26" t="s">
        <v>38</v>
      </c>
      <c r="C26" t="s">
        <v>30</v>
      </c>
      <c r="D26" t="s">
        <v>34</v>
      </c>
      <c r="E26">
        <v>2</v>
      </c>
    </row>
    <row r="27" spans="1:12" x14ac:dyDescent="0.2">
      <c r="A27" s="3">
        <v>4</v>
      </c>
      <c r="B27" t="s">
        <v>300</v>
      </c>
      <c r="C27" t="s">
        <v>299</v>
      </c>
      <c r="D27" t="s">
        <v>31</v>
      </c>
      <c r="E27">
        <v>2</v>
      </c>
    </row>
    <row r="28" spans="1:12" x14ac:dyDescent="0.2">
      <c r="A28" s="3">
        <v>6</v>
      </c>
      <c r="B28" t="s">
        <v>300</v>
      </c>
      <c r="C28" t="s">
        <v>299</v>
      </c>
      <c r="D28" t="s">
        <v>31</v>
      </c>
      <c r="E28">
        <v>1</v>
      </c>
    </row>
    <row r="29" spans="1:12" x14ac:dyDescent="0.2">
      <c r="A29" s="3">
        <v>4</v>
      </c>
      <c r="B29" t="s">
        <v>301</v>
      </c>
      <c r="C29" t="s">
        <v>46</v>
      </c>
      <c r="D29" t="s">
        <v>36</v>
      </c>
      <c r="E29">
        <v>1</v>
      </c>
    </row>
    <row r="30" spans="1:12" x14ac:dyDescent="0.2">
      <c r="A30" s="3">
        <v>4</v>
      </c>
      <c r="B30" t="s">
        <v>304</v>
      </c>
      <c r="C30" t="s">
        <v>299</v>
      </c>
      <c r="D30" t="s">
        <v>36</v>
      </c>
      <c r="E30">
        <v>1</v>
      </c>
    </row>
    <row r="31" spans="1:12" x14ac:dyDescent="0.2">
      <c r="A31" s="3">
        <v>4</v>
      </c>
      <c r="B31" t="s">
        <v>305</v>
      </c>
      <c r="C31" t="s">
        <v>299</v>
      </c>
      <c r="D31" t="s">
        <v>34</v>
      </c>
      <c r="E31">
        <v>1</v>
      </c>
    </row>
    <row r="32" spans="1:12" x14ac:dyDescent="0.2">
      <c r="A32" s="3">
        <v>6</v>
      </c>
      <c r="B32" t="s">
        <v>305</v>
      </c>
      <c r="C32" t="s">
        <v>299</v>
      </c>
      <c r="D32" t="s">
        <v>34</v>
      </c>
      <c r="E32">
        <v>1</v>
      </c>
    </row>
    <row r="33" spans="1:5" x14ac:dyDescent="0.2">
      <c r="A33" s="3">
        <v>8</v>
      </c>
      <c r="B33" t="s">
        <v>305</v>
      </c>
      <c r="C33" t="s">
        <v>299</v>
      </c>
      <c r="D33" t="s">
        <v>34</v>
      </c>
      <c r="E33">
        <v>1</v>
      </c>
    </row>
    <row r="34" spans="1:5" x14ac:dyDescent="0.2">
      <c r="A34" s="3">
        <v>8</v>
      </c>
      <c r="B34" t="s">
        <v>300</v>
      </c>
      <c r="C34" t="s">
        <v>299</v>
      </c>
      <c r="D34" t="s">
        <v>31</v>
      </c>
      <c r="E34">
        <v>2</v>
      </c>
    </row>
    <row r="35" spans="1:5" x14ac:dyDescent="0.2">
      <c r="A35" s="3">
        <v>4</v>
      </c>
      <c r="B35" t="s">
        <v>302</v>
      </c>
      <c r="C35" t="s">
        <v>299</v>
      </c>
      <c r="D35" t="s">
        <v>34</v>
      </c>
      <c r="E35">
        <v>1</v>
      </c>
    </row>
    <row r="36" spans="1:5" x14ac:dyDescent="0.2">
      <c r="A36" s="3">
        <v>6</v>
      </c>
      <c r="B36" t="s">
        <v>302</v>
      </c>
      <c r="C36" t="s">
        <v>299</v>
      </c>
      <c r="D36" t="s">
        <v>34</v>
      </c>
      <c r="E36">
        <v>1</v>
      </c>
    </row>
    <row r="37" spans="1:5" x14ac:dyDescent="0.2">
      <c r="A37" s="3">
        <v>8</v>
      </c>
      <c r="B37" t="s">
        <v>302</v>
      </c>
      <c r="C37" t="s">
        <v>299</v>
      </c>
      <c r="D37" t="s">
        <v>34</v>
      </c>
      <c r="E37">
        <v>1</v>
      </c>
    </row>
    <row r="38" spans="1:5" x14ac:dyDescent="0.2">
      <c r="A38" s="3">
        <v>5</v>
      </c>
      <c r="B38" t="s">
        <v>303</v>
      </c>
      <c r="C38" t="s">
        <v>299</v>
      </c>
      <c r="D38" t="s">
        <v>36</v>
      </c>
      <c r="E38">
        <v>1</v>
      </c>
    </row>
    <row r="39" spans="1:5" x14ac:dyDescent="0.2">
      <c r="A39" s="3">
        <v>4</v>
      </c>
      <c r="B39" t="s">
        <v>39</v>
      </c>
      <c r="C39" t="s">
        <v>40</v>
      </c>
      <c r="D39" t="s">
        <v>31</v>
      </c>
      <c r="E39">
        <v>1</v>
      </c>
    </row>
    <row r="40" spans="1:5" x14ac:dyDescent="0.2">
      <c r="A40" s="3">
        <v>6</v>
      </c>
      <c r="B40" t="s">
        <v>39</v>
      </c>
      <c r="C40" t="s">
        <v>40</v>
      </c>
      <c r="D40" t="s">
        <v>31</v>
      </c>
      <c r="E40">
        <v>1</v>
      </c>
    </row>
    <row r="41" spans="1:5" x14ac:dyDescent="0.2">
      <c r="A41" s="3">
        <v>8</v>
      </c>
      <c r="B41" t="s">
        <v>39</v>
      </c>
      <c r="C41" t="s">
        <v>40</v>
      </c>
      <c r="D41" t="s">
        <v>31</v>
      </c>
      <c r="E41">
        <v>2</v>
      </c>
    </row>
    <row r="42" spans="1:5" x14ac:dyDescent="0.2">
      <c r="A42" s="3">
        <v>6</v>
      </c>
      <c r="B42" t="s">
        <v>41</v>
      </c>
      <c r="C42" t="s">
        <v>40</v>
      </c>
      <c r="D42" t="s">
        <v>31</v>
      </c>
      <c r="E42">
        <v>1</v>
      </c>
    </row>
    <row r="43" spans="1:5" x14ac:dyDescent="0.2">
      <c r="A43">
        <v>8</v>
      </c>
      <c r="B43" t="s">
        <v>41</v>
      </c>
      <c r="C43" t="s">
        <v>40</v>
      </c>
      <c r="D43" t="s">
        <v>31</v>
      </c>
      <c r="E43">
        <v>2</v>
      </c>
    </row>
    <row r="44" spans="1:5" x14ac:dyDescent="0.2">
      <c r="A44" s="3">
        <v>4</v>
      </c>
      <c r="B44" t="s">
        <v>306</v>
      </c>
      <c r="C44" t="s">
        <v>40</v>
      </c>
      <c r="D44" t="s">
        <v>31</v>
      </c>
      <c r="E44">
        <v>1</v>
      </c>
    </row>
    <row r="45" spans="1:5" x14ac:dyDescent="0.2">
      <c r="A45" s="3">
        <v>6</v>
      </c>
      <c r="B45" t="s">
        <v>306</v>
      </c>
      <c r="C45" t="s">
        <v>40</v>
      </c>
      <c r="D45" t="s">
        <v>31</v>
      </c>
      <c r="E45">
        <v>1</v>
      </c>
    </row>
    <row r="46" spans="1:5" x14ac:dyDescent="0.2">
      <c r="A46">
        <v>8</v>
      </c>
      <c r="B46" t="s">
        <v>306</v>
      </c>
      <c r="C46" t="s">
        <v>40</v>
      </c>
      <c r="D46" t="s">
        <v>31</v>
      </c>
      <c r="E46">
        <v>2</v>
      </c>
    </row>
    <row r="47" spans="1:5" x14ac:dyDescent="0.2">
      <c r="A47" s="3">
        <v>5</v>
      </c>
      <c r="B47" t="s">
        <v>42</v>
      </c>
      <c r="C47" t="s">
        <v>40</v>
      </c>
      <c r="D47" t="s">
        <v>34</v>
      </c>
      <c r="E47">
        <v>2</v>
      </c>
    </row>
    <row r="48" spans="1:5" x14ac:dyDescent="0.2">
      <c r="A48" s="3">
        <v>7</v>
      </c>
      <c r="B48" s="5" t="s">
        <v>43</v>
      </c>
      <c r="C48" s="5" t="s">
        <v>299</v>
      </c>
      <c r="D48" s="5" t="s">
        <v>34</v>
      </c>
      <c r="E48" s="5">
        <v>1</v>
      </c>
    </row>
    <row r="49" spans="1:5" x14ac:dyDescent="0.2">
      <c r="A49" s="3">
        <v>7</v>
      </c>
      <c r="B49" s="5" t="s">
        <v>44</v>
      </c>
      <c r="C49" s="5" t="s">
        <v>40</v>
      </c>
      <c r="D49" s="5" t="s">
        <v>34</v>
      </c>
      <c r="E49" s="5">
        <v>1</v>
      </c>
    </row>
    <row r="50" spans="1:5" x14ac:dyDescent="0.2">
      <c r="A50" s="3">
        <v>4</v>
      </c>
      <c r="B50" t="s">
        <v>45</v>
      </c>
      <c r="C50" t="s">
        <v>46</v>
      </c>
      <c r="D50" t="s">
        <v>31</v>
      </c>
      <c r="E50">
        <v>1</v>
      </c>
    </row>
    <row r="51" spans="1:5" x14ac:dyDescent="0.2">
      <c r="A51" s="3">
        <v>6</v>
      </c>
      <c r="B51" t="s">
        <v>45</v>
      </c>
      <c r="C51" t="s">
        <v>46</v>
      </c>
      <c r="D51" t="s">
        <v>31</v>
      </c>
      <c r="E51">
        <v>1</v>
      </c>
    </row>
    <row r="52" spans="1:5" x14ac:dyDescent="0.2">
      <c r="A52" s="3">
        <v>8</v>
      </c>
      <c r="B52" t="s">
        <v>45</v>
      </c>
      <c r="C52" t="s">
        <v>46</v>
      </c>
      <c r="D52" t="s">
        <v>31</v>
      </c>
      <c r="E52">
        <v>2</v>
      </c>
    </row>
    <row r="53" spans="1:5" x14ac:dyDescent="0.2">
      <c r="A53" s="3">
        <v>7</v>
      </c>
      <c r="B53" t="s">
        <v>47</v>
      </c>
      <c r="C53" t="s">
        <v>46</v>
      </c>
      <c r="D53" t="s">
        <v>34</v>
      </c>
      <c r="E53">
        <v>1</v>
      </c>
    </row>
    <row r="54" spans="1:5" x14ac:dyDescent="0.2">
      <c r="A54" s="3">
        <v>4</v>
      </c>
      <c r="B54" t="s">
        <v>48</v>
      </c>
      <c r="C54" t="s">
        <v>46</v>
      </c>
      <c r="D54" t="s">
        <v>34</v>
      </c>
      <c r="E54">
        <v>2</v>
      </c>
    </row>
    <row r="55" spans="1:5" x14ac:dyDescent="0.2">
      <c r="A55" s="3">
        <v>8</v>
      </c>
      <c r="B55" t="s">
        <v>49</v>
      </c>
      <c r="C55" t="s">
        <v>46</v>
      </c>
      <c r="D55" t="s">
        <v>34</v>
      </c>
      <c r="E55">
        <v>1</v>
      </c>
    </row>
    <row r="56" spans="1:5" x14ac:dyDescent="0.2">
      <c r="A56" s="3">
        <v>7</v>
      </c>
      <c r="B56" t="s">
        <v>49</v>
      </c>
      <c r="C56" t="s">
        <v>46</v>
      </c>
      <c r="D56" t="s">
        <v>34</v>
      </c>
      <c r="E56">
        <v>1</v>
      </c>
    </row>
    <row r="57" spans="1:5" x14ac:dyDescent="0.2">
      <c r="A57" s="3">
        <v>6</v>
      </c>
      <c r="B57" t="s">
        <v>50</v>
      </c>
      <c r="C57" t="s">
        <v>46</v>
      </c>
      <c r="D57" t="s">
        <v>34</v>
      </c>
      <c r="E57">
        <v>1</v>
      </c>
    </row>
    <row r="58" spans="1:5" x14ac:dyDescent="0.2">
      <c r="A58" s="3">
        <v>8</v>
      </c>
      <c r="B58" t="s">
        <v>50</v>
      </c>
      <c r="C58" t="s">
        <v>46</v>
      </c>
      <c r="D58" t="s">
        <v>34</v>
      </c>
      <c r="E58">
        <v>1</v>
      </c>
    </row>
    <row r="59" spans="1:5" x14ac:dyDescent="0.2">
      <c r="A59" s="3">
        <v>7</v>
      </c>
      <c r="B59" t="s">
        <v>284</v>
      </c>
      <c r="C59" t="s">
        <v>30</v>
      </c>
      <c r="D59" t="s">
        <v>36</v>
      </c>
      <c r="E5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DC131-E60B-9246-A7B1-E001E7A735FF}">
  <dimension ref="A1:F12"/>
  <sheetViews>
    <sheetView workbookViewId="0">
      <selection activeCell="B7" sqref="B7"/>
    </sheetView>
  </sheetViews>
  <sheetFormatPr baseColWidth="10" defaultRowHeight="16" x14ac:dyDescent="0.2"/>
  <cols>
    <col min="1" max="1" width="12" bestFit="1" customWidth="1"/>
    <col min="2" max="2" width="50.33203125" bestFit="1" customWidth="1"/>
    <col min="3" max="3" width="18.83203125" bestFit="1" customWidth="1"/>
    <col min="4" max="4" width="13.1640625" bestFit="1" customWidth="1"/>
    <col min="5" max="5" width="13.1640625" customWidth="1"/>
    <col min="6" max="6" width="84.6640625" bestFit="1" customWidth="1"/>
  </cols>
  <sheetData>
    <row r="1" spans="1:6" x14ac:dyDescent="0.2">
      <c r="A1" s="1" t="s">
        <v>92</v>
      </c>
      <c r="B1" s="1" t="s">
        <v>51</v>
      </c>
      <c r="C1" s="1" t="s">
        <v>52</v>
      </c>
      <c r="D1" s="1" t="s">
        <v>54</v>
      </c>
      <c r="E1" s="1" t="s">
        <v>296</v>
      </c>
      <c r="F1" s="1" t="s">
        <v>63</v>
      </c>
    </row>
    <row r="2" spans="1:6" x14ac:dyDescent="0.2">
      <c r="A2">
        <v>6</v>
      </c>
      <c r="B2" t="s">
        <v>55</v>
      </c>
      <c r="C2" t="s">
        <v>56</v>
      </c>
      <c r="D2" t="s">
        <v>57</v>
      </c>
      <c r="E2">
        <v>2021</v>
      </c>
      <c r="F2" s="6" t="s">
        <v>64</v>
      </c>
    </row>
    <row r="3" spans="1:6" x14ac:dyDescent="0.2">
      <c r="A3">
        <v>5</v>
      </c>
      <c r="B3" t="s">
        <v>58</v>
      </c>
      <c r="C3" t="s">
        <v>59</v>
      </c>
      <c r="D3" t="s">
        <v>57</v>
      </c>
      <c r="E3">
        <v>2021</v>
      </c>
      <c r="F3" s="6" t="s">
        <v>65</v>
      </c>
    </row>
    <row r="4" spans="1:6" x14ac:dyDescent="0.2">
      <c r="A4">
        <v>4</v>
      </c>
      <c r="B4" t="s">
        <v>60</v>
      </c>
      <c r="C4" t="s">
        <v>61</v>
      </c>
      <c r="D4" t="s">
        <v>62</v>
      </c>
      <c r="E4">
        <v>2019</v>
      </c>
    </row>
    <row r="5" spans="1:6" x14ac:dyDescent="0.2">
      <c r="A5">
        <v>5</v>
      </c>
      <c r="B5" t="s">
        <v>67</v>
      </c>
      <c r="C5" t="s">
        <v>66</v>
      </c>
      <c r="D5" t="s">
        <v>68</v>
      </c>
      <c r="E5">
        <v>2021</v>
      </c>
      <c r="F5" s="6" t="s">
        <v>290</v>
      </c>
    </row>
    <row r="6" spans="1:6" x14ac:dyDescent="0.2">
      <c r="A6">
        <v>6</v>
      </c>
      <c r="B6" t="s">
        <v>69</v>
      </c>
      <c r="C6" t="s">
        <v>66</v>
      </c>
      <c r="D6" t="s">
        <v>57</v>
      </c>
      <c r="E6">
        <v>2021</v>
      </c>
      <c r="F6" s="6" t="s">
        <v>293</v>
      </c>
    </row>
    <row r="7" spans="1:6" x14ac:dyDescent="0.2">
      <c r="A7">
        <v>7</v>
      </c>
      <c r="B7" t="s">
        <v>70</v>
      </c>
      <c r="C7" t="s">
        <v>66</v>
      </c>
      <c r="D7" t="s">
        <v>30</v>
      </c>
      <c r="E7">
        <v>2023</v>
      </c>
      <c r="F7" s="6" t="s">
        <v>292</v>
      </c>
    </row>
    <row r="8" spans="1:6" x14ac:dyDescent="0.2">
      <c r="A8">
        <v>7</v>
      </c>
      <c r="B8" t="s">
        <v>71</v>
      </c>
      <c r="C8" t="s">
        <v>66</v>
      </c>
      <c r="D8" t="s">
        <v>72</v>
      </c>
      <c r="E8">
        <v>2024</v>
      </c>
      <c r="F8" s="6" t="s">
        <v>291</v>
      </c>
    </row>
    <row r="9" spans="1:6" x14ac:dyDescent="0.2">
      <c r="A9">
        <v>6</v>
      </c>
      <c r="B9" t="s">
        <v>73</v>
      </c>
      <c r="C9" t="s">
        <v>66</v>
      </c>
      <c r="D9" t="s">
        <v>30</v>
      </c>
      <c r="E9">
        <v>2022</v>
      </c>
      <c r="F9" s="6" t="s">
        <v>288</v>
      </c>
    </row>
    <row r="10" spans="1:6" x14ac:dyDescent="0.2">
      <c r="A10">
        <v>4</v>
      </c>
      <c r="B10" t="s">
        <v>75</v>
      </c>
      <c r="C10" t="s">
        <v>66</v>
      </c>
      <c r="D10" t="s">
        <v>30</v>
      </c>
      <c r="E10">
        <v>2021</v>
      </c>
      <c r="F10" s="6" t="s">
        <v>289</v>
      </c>
    </row>
    <row r="11" spans="1:6" x14ac:dyDescent="0.2">
      <c r="A11">
        <v>8</v>
      </c>
      <c r="B11" t="s">
        <v>74</v>
      </c>
      <c r="C11" t="s">
        <v>66</v>
      </c>
      <c r="D11" t="s">
        <v>57</v>
      </c>
      <c r="E11">
        <v>2024</v>
      </c>
      <c r="F11" s="6" t="s">
        <v>294</v>
      </c>
    </row>
    <row r="12" spans="1:6" x14ac:dyDescent="0.2">
      <c r="A12">
        <v>8</v>
      </c>
      <c r="B12" t="s">
        <v>76</v>
      </c>
      <c r="C12" t="s">
        <v>66</v>
      </c>
      <c r="D12" t="s">
        <v>72</v>
      </c>
      <c r="E12">
        <v>2025</v>
      </c>
      <c r="F12" s="6" t="s">
        <v>295</v>
      </c>
    </row>
  </sheetData>
  <hyperlinks>
    <hyperlink ref="F2" r:id="rId1" xr:uid="{48C6B5B8-0C44-4C4D-9DAC-146EDC04258D}"/>
    <hyperlink ref="F3" r:id="rId2" xr:uid="{EC53445A-087B-B34D-A74B-B7D7FA594CE2}"/>
    <hyperlink ref="F10" r:id="rId3" xr:uid="{FF785A33-1824-424C-A9B6-8AC42F049984}"/>
    <hyperlink ref="F9" r:id="rId4" xr:uid="{738466F2-98E4-BF47-AA31-05D63A948383}"/>
    <hyperlink ref="F5" r:id="rId5" xr:uid="{25688EDC-3474-B04F-8BAB-2288E68D2C07}"/>
    <hyperlink ref="F8" r:id="rId6" xr:uid="{2A51F163-7EBA-C248-8ACC-FB173302AE0E}"/>
    <hyperlink ref="F7" r:id="rId7" xr:uid="{D3831E61-7923-0A43-8CB5-A33A9F43EF13}"/>
    <hyperlink ref="F6" r:id="rId8" xr:uid="{95DAE6A9-3683-FF40-B26C-5315023C1ACB}"/>
    <hyperlink ref="F11" r:id="rId9" xr:uid="{FEE9E52A-1E30-174C-822B-AC8B1F8DCD65}"/>
    <hyperlink ref="F12" r:id="rId10" xr:uid="{9529A0FB-8383-C149-B98B-917FD241929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Calendar</vt:lpstr>
      <vt:lpstr>Experience</vt:lpstr>
      <vt:lpstr>Skills</vt:lpstr>
      <vt:lpstr>Certifications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Edoardo dal Piaz</dc:creator>
  <cp:lastModifiedBy>Edoardo dal Piaz</cp:lastModifiedBy>
  <dcterms:created xsi:type="dcterms:W3CDTF">2025-10-23T09:19:14Z</dcterms:created>
  <dcterms:modified xsi:type="dcterms:W3CDTF">2026-01-16T09:19:09Z</dcterms:modified>
</cp:coreProperties>
</file>